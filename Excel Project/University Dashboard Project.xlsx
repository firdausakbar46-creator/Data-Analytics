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data analytics project 1\project\"/>
    </mc:Choice>
  </mc:AlternateContent>
  <xr:revisionPtr revIDLastSave="0" documentId="13_ncr:1_{C8CB716D-FBC7-4428-91BF-E1FCDCC246EA}" xr6:coauthVersionLast="47" xr6:coauthVersionMax="47" xr10:uidLastSave="{00000000-0000-0000-0000-000000000000}"/>
  <bookViews>
    <workbookView xWindow="-120" yWindow="-120" windowWidth="20730" windowHeight="11760" firstSheet="2" activeTab="3" xr2:uid="{A6D33840-D7DF-4A8A-94F6-8FED685D10AD}"/>
  </bookViews>
  <sheets>
    <sheet name="world_university_rankings_2026" sheetId="2" r:id="rId1"/>
    <sheet name="Worksheet" sheetId="1" r:id="rId2"/>
    <sheet name="Pivot Table" sheetId="3" r:id="rId3"/>
    <sheet name="Dashboard" sheetId="4" r:id="rId4"/>
  </sheets>
  <definedNames>
    <definedName name="ExternalData_1" localSheetId="1" hidden="1">Worksheet!$A$1:$AD$58</definedName>
    <definedName name="ExternalData_1" localSheetId="0" hidden="1">world_university_rankings_2026!$A$1:$AD$58</definedName>
    <definedName name="Slicer_country">#N/A</definedName>
    <definedName name="Slicer_universit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50E73C-460B-4A6B-BB5A-060AF1886D58}" keepAlive="1" name="Query - world_university_rankings_2026" description="Connection to the 'world_university_rankings_2026' query in the workbook." type="5" refreshedVersion="8" background="1" saveData="1">
    <dbPr connection="Provider=Microsoft.Mashup.OleDb.1;Data Source=$Workbook$;Location=world_university_rankings_2026;Extended Properties=&quot;&quot;" command="SELECT * FROM [world_university_rankings_2026]"/>
  </connection>
  <connection id="2" xr16:uid="{FB741AE2-3EF0-4FB0-9A53-36AEE2E5D13D}" keepAlive="1" name="Query - world_university_rankings_2026 (2)" description="Connection to the 'world_university_rankings_2026 (2)' query in the workbook." type="5" refreshedVersion="8" background="1" saveData="1">
    <dbPr connection="Provider=Microsoft.Mashup.OleDb.1;Data Source=$Workbook$;Location=&quot;world_university_rankings_2026 (2)&quot;;Extended Properties=&quot;&quot;" command="SELECT * FROM [world_university_rankings_2026 (2)]"/>
  </connection>
</connections>
</file>

<file path=xl/sharedStrings.xml><?xml version="1.0" encoding="utf-8"?>
<sst xmlns="http://schemas.openxmlformats.org/spreadsheetml/2006/main" count="729" uniqueCount="125">
  <si>
    <t>university</t>
  </si>
  <si>
    <t>country</t>
  </si>
  <si>
    <t>region</t>
  </si>
  <si>
    <t>university_type</t>
  </si>
  <si>
    <t>qs_rank_2026</t>
  </si>
  <si>
    <t>the_rank_2026</t>
  </si>
  <si>
    <t>arwu_rank_2025</t>
  </si>
  <si>
    <t>qs_score</t>
  </si>
  <si>
    <t>the_score</t>
  </si>
  <si>
    <t>arwu_score</t>
  </si>
  <si>
    <t>qs_academic_rep</t>
  </si>
  <si>
    <t>qs_employer_rep</t>
  </si>
  <si>
    <t>qs_faculty_student</t>
  </si>
  <si>
    <t>qs_citations</t>
  </si>
  <si>
    <t>qs_intl_faculty</t>
  </si>
  <si>
    <t>qs_intl_students</t>
  </si>
  <si>
    <t>the_teaching</t>
  </si>
  <si>
    <t>the_research_env</t>
  </si>
  <si>
    <t>the_research_quality</t>
  </si>
  <si>
    <t>the_industry</t>
  </si>
  <si>
    <t>the_intl_outlook</t>
  </si>
  <si>
    <t>founded</t>
  </si>
  <si>
    <t>total_students</t>
  </si>
  <si>
    <t>intl_students_pct</t>
  </si>
  <si>
    <t>nobel_laureates</t>
  </si>
  <si>
    <t>fields_medalists</t>
  </si>
  <si>
    <t>ranked_in_all_3</t>
  </si>
  <si>
    <t>avg_rank_all3</t>
  </si>
  <si>
    <t>university_age_2026</t>
  </si>
  <si>
    <t>data_sources</t>
  </si>
  <si>
    <t>MIT</t>
  </si>
  <si>
    <t>USA</t>
  </si>
  <si>
    <t>North America</t>
  </si>
  <si>
    <t>Private</t>
  </si>
  <si>
    <t>QS Jun-2025 | THE Oct-2025 | ARWU Aug-2025</t>
  </si>
  <si>
    <t>Imperial College London</t>
  </si>
  <si>
    <t>UK</t>
  </si>
  <si>
    <t>Europe</t>
  </si>
  <si>
    <t>Public</t>
  </si>
  <si>
    <t>Stanford University</t>
  </si>
  <si>
    <t>University of Oxford</t>
  </si>
  <si>
    <t>Harvard University</t>
  </si>
  <si>
    <t>University of Cambridge</t>
  </si>
  <si>
    <t>ETH Zurich</t>
  </si>
  <si>
    <t>Switzerland</t>
  </si>
  <si>
    <t>NUS Singapore</t>
  </si>
  <si>
    <t>Singapore</t>
  </si>
  <si>
    <t>Asia</t>
  </si>
  <si>
    <t>UCL</t>
  </si>
  <si>
    <t>Caltech</t>
  </si>
  <si>
    <t>Univ of Chicago</t>
  </si>
  <si>
    <t>Princeton University</t>
  </si>
  <si>
    <t>Univ of Hong Kong</t>
  </si>
  <si>
    <t>Hong Kong</t>
  </si>
  <si>
    <t>NTU Singapore</t>
  </si>
  <si>
    <t>Cornell University</t>
  </si>
  <si>
    <t>Yale University</t>
  </si>
  <si>
    <t>Columbia University</t>
  </si>
  <si>
    <t>Univ of Pennsylvania</t>
  </si>
  <si>
    <t>Univ of Melbourne</t>
  </si>
  <si>
    <t>Australia</t>
  </si>
  <si>
    <t>Oceania</t>
  </si>
  <si>
    <t>Peking University</t>
  </si>
  <si>
    <t>China</t>
  </si>
  <si>
    <t>Tsinghua University</t>
  </si>
  <si>
    <t>UC Berkeley</t>
  </si>
  <si>
    <t>Johns Hopkins University</t>
  </si>
  <si>
    <t>Univ of Sydney</t>
  </si>
  <si>
    <t>Duke University</t>
  </si>
  <si>
    <t>Univ of Toronto</t>
  </si>
  <si>
    <t>Canada</t>
  </si>
  <si>
    <t>Univ of Michigan</t>
  </si>
  <si>
    <t>Kings College London</t>
  </si>
  <si>
    <t>Univ of Manchester</t>
  </si>
  <si>
    <t>McGill University</t>
  </si>
  <si>
    <t>Seoul National University</t>
  </si>
  <si>
    <t>South Korea</t>
  </si>
  <si>
    <t>Fudan University</t>
  </si>
  <si>
    <t>Univ of Tokyo</t>
  </si>
  <si>
    <t>Japan</t>
  </si>
  <si>
    <t>Univ of Edinburgh</t>
  </si>
  <si>
    <t>CUHK Hong Kong</t>
  </si>
  <si>
    <t>UCLA</t>
  </si>
  <si>
    <t>UNSW Sydney</t>
  </si>
  <si>
    <t>Paris-Saclay University</t>
  </si>
  <si>
    <t>France</t>
  </si>
  <si>
    <t>LSE</t>
  </si>
  <si>
    <t>Kyoto University</t>
  </si>
  <si>
    <t>Univ of Amsterdam</t>
  </si>
  <si>
    <t>Netherlands</t>
  </si>
  <si>
    <t>KAIST</t>
  </si>
  <si>
    <t>Australian National Univ</t>
  </si>
  <si>
    <t>Carnegie Mellon University</t>
  </si>
  <si>
    <t>NYU</t>
  </si>
  <si>
    <t>Monash University</t>
  </si>
  <si>
    <t>Delft Univ of Technology</t>
  </si>
  <si>
    <t>Univ of British Columbia</t>
  </si>
  <si>
    <t>Technical Univ of Munich</t>
  </si>
  <si>
    <t>Germany</t>
  </si>
  <si>
    <t>LMU Munich</t>
  </si>
  <si>
    <t>Univ of Sao Paulo</t>
  </si>
  <si>
    <t>Brazil</t>
  </si>
  <si>
    <t>Latin America</t>
  </si>
  <si>
    <t>Univ of Cape Town</t>
  </si>
  <si>
    <t>South Africa</t>
  </si>
  <si>
    <t>Africa</t>
  </si>
  <si>
    <t>IIT Bombay</t>
  </si>
  <si>
    <t>India</t>
  </si>
  <si>
    <t>KFUPM Saudi Arabia</t>
  </si>
  <si>
    <t>Saudi Arabia</t>
  </si>
  <si>
    <t>Middle East</t>
  </si>
  <si>
    <t>Politecnico di Milano</t>
  </si>
  <si>
    <t>Italy</t>
  </si>
  <si>
    <t>Univ of Warsaw</t>
  </si>
  <si>
    <t>Poland</t>
  </si>
  <si>
    <t>Sunway University</t>
  </si>
  <si>
    <t>Malaysia</t>
  </si>
  <si>
    <t>Row Labels</t>
  </si>
  <si>
    <t>Grand Total</t>
  </si>
  <si>
    <t>Column Labels</t>
  </si>
  <si>
    <t>Count of university_type</t>
  </si>
  <si>
    <t>Sum of fields_medalists</t>
  </si>
  <si>
    <t>Sum of nobel_laureates</t>
  </si>
  <si>
    <t>Count of university</t>
  </si>
  <si>
    <t>University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</si>
</sst>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48"/>
      <color theme="1"/>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 Dashboard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Type</a:t>
            </a:r>
            <a:r>
              <a:rPr lang="en-ID" baseline="0"/>
              <a:t> of University in Countries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Private</c:v>
                </c:pt>
              </c:strCache>
            </c:strRef>
          </c:tx>
          <c:spPr>
            <a:solidFill>
              <a:schemeClr val="accent1"/>
            </a:solidFill>
            <a:ln>
              <a:noFill/>
            </a:ln>
            <a:effectLst/>
          </c:spPr>
          <c:invertIfNegative val="0"/>
          <c:cat>
            <c:strRef>
              <c:f>'Pivot Table'!$A$6:$A$26</c:f>
              <c:strCache>
                <c:ptCount val="20"/>
                <c:pt idx="0">
                  <c:v>Australia</c:v>
                </c:pt>
                <c:pt idx="1">
                  <c:v>Brazil</c:v>
                </c:pt>
                <c:pt idx="2">
                  <c:v>Canada</c:v>
                </c:pt>
                <c:pt idx="3">
                  <c:v>China</c:v>
                </c:pt>
                <c:pt idx="4">
                  <c:v>France</c:v>
                </c:pt>
                <c:pt idx="5">
                  <c:v>Germany</c:v>
                </c:pt>
                <c:pt idx="6">
                  <c:v>Hong Kong</c:v>
                </c:pt>
                <c:pt idx="7">
                  <c:v>India</c:v>
                </c:pt>
                <c:pt idx="8">
                  <c:v>Italy</c:v>
                </c:pt>
                <c:pt idx="9">
                  <c:v>Japan</c:v>
                </c:pt>
                <c:pt idx="10">
                  <c:v>Malaysia</c:v>
                </c:pt>
                <c:pt idx="11">
                  <c:v>Netherlands</c:v>
                </c:pt>
                <c:pt idx="12">
                  <c:v>Poland</c:v>
                </c:pt>
                <c:pt idx="13">
                  <c:v>Saudi Arabia</c:v>
                </c:pt>
                <c:pt idx="14">
                  <c:v>Singapore</c:v>
                </c:pt>
                <c:pt idx="15">
                  <c:v>South Africa</c:v>
                </c:pt>
                <c:pt idx="16">
                  <c:v>South Korea</c:v>
                </c:pt>
                <c:pt idx="17">
                  <c:v>Switzerland</c:v>
                </c:pt>
                <c:pt idx="18">
                  <c:v>UK</c:v>
                </c:pt>
                <c:pt idx="19">
                  <c:v>USA</c:v>
                </c:pt>
              </c:strCache>
            </c:strRef>
          </c:cat>
          <c:val>
            <c:numRef>
              <c:f>'Pivot Table'!$B$6:$B$26</c:f>
              <c:numCache>
                <c:formatCode>General</c:formatCode>
                <c:ptCount val="20"/>
                <c:pt idx="10">
                  <c:v>1</c:v>
                </c:pt>
                <c:pt idx="19">
                  <c:v>14</c:v>
                </c:pt>
              </c:numCache>
            </c:numRef>
          </c:val>
          <c:extLst>
            <c:ext xmlns:c16="http://schemas.microsoft.com/office/drawing/2014/chart" uri="{C3380CC4-5D6E-409C-BE32-E72D297353CC}">
              <c16:uniqueId val="{00000000-0CEF-4069-9261-023E86DB4EC7}"/>
            </c:ext>
          </c:extLst>
        </c:ser>
        <c:ser>
          <c:idx val="1"/>
          <c:order val="1"/>
          <c:tx>
            <c:strRef>
              <c:f>'Pivot Table'!$C$4:$C$5</c:f>
              <c:strCache>
                <c:ptCount val="1"/>
                <c:pt idx="0">
                  <c:v>Public</c:v>
                </c:pt>
              </c:strCache>
            </c:strRef>
          </c:tx>
          <c:spPr>
            <a:solidFill>
              <a:schemeClr val="accent2"/>
            </a:solidFill>
            <a:ln>
              <a:noFill/>
            </a:ln>
            <a:effectLst/>
          </c:spPr>
          <c:invertIfNegative val="0"/>
          <c:cat>
            <c:strRef>
              <c:f>'Pivot Table'!$A$6:$A$26</c:f>
              <c:strCache>
                <c:ptCount val="20"/>
                <c:pt idx="0">
                  <c:v>Australia</c:v>
                </c:pt>
                <c:pt idx="1">
                  <c:v>Brazil</c:v>
                </c:pt>
                <c:pt idx="2">
                  <c:v>Canada</c:v>
                </c:pt>
                <c:pt idx="3">
                  <c:v>China</c:v>
                </c:pt>
                <c:pt idx="4">
                  <c:v>France</c:v>
                </c:pt>
                <c:pt idx="5">
                  <c:v>Germany</c:v>
                </c:pt>
                <c:pt idx="6">
                  <c:v>Hong Kong</c:v>
                </c:pt>
                <c:pt idx="7">
                  <c:v>India</c:v>
                </c:pt>
                <c:pt idx="8">
                  <c:v>Italy</c:v>
                </c:pt>
                <c:pt idx="9">
                  <c:v>Japan</c:v>
                </c:pt>
                <c:pt idx="10">
                  <c:v>Malaysia</c:v>
                </c:pt>
                <c:pt idx="11">
                  <c:v>Netherlands</c:v>
                </c:pt>
                <c:pt idx="12">
                  <c:v>Poland</c:v>
                </c:pt>
                <c:pt idx="13">
                  <c:v>Saudi Arabia</c:v>
                </c:pt>
                <c:pt idx="14">
                  <c:v>Singapore</c:v>
                </c:pt>
                <c:pt idx="15">
                  <c:v>South Africa</c:v>
                </c:pt>
                <c:pt idx="16">
                  <c:v>South Korea</c:v>
                </c:pt>
                <c:pt idx="17">
                  <c:v>Switzerland</c:v>
                </c:pt>
                <c:pt idx="18">
                  <c:v>UK</c:v>
                </c:pt>
                <c:pt idx="19">
                  <c:v>USA</c:v>
                </c:pt>
              </c:strCache>
            </c:strRef>
          </c:cat>
          <c:val>
            <c:numRef>
              <c:f>'Pivot Table'!$C$6:$C$26</c:f>
              <c:numCache>
                <c:formatCode>General</c:formatCode>
                <c:ptCount val="20"/>
                <c:pt idx="0">
                  <c:v>5</c:v>
                </c:pt>
                <c:pt idx="1">
                  <c:v>1</c:v>
                </c:pt>
                <c:pt idx="2">
                  <c:v>3</c:v>
                </c:pt>
                <c:pt idx="3">
                  <c:v>3</c:v>
                </c:pt>
                <c:pt idx="4">
                  <c:v>1</c:v>
                </c:pt>
                <c:pt idx="5">
                  <c:v>2</c:v>
                </c:pt>
                <c:pt idx="6">
                  <c:v>2</c:v>
                </c:pt>
                <c:pt idx="7">
                  <c:v>1</c:v>
                </c:pt>
                <c:pt idx="8">
                  <c:v>1</c:v>
                </c:pt>
                <c:pt idx="9">
                  <c:v>2</c:v>
                </c:pt>
                <c:pt idx="11">
                  <c:v>2</c:v>
                </c:pt>
                <c:pt idx="12">
                  <c:v>1</c:v>
                </c:pt>
                <c:pt idx="13">
                  <c:v>1</c:v>
                </c:pt>
                <c:pt idx="14">
                  <c:v>2</c:v>
                </c:pt>
                <c:pt idx="15">
                  <c:v>1</c:v>
                </c:pt>
                <c:pt idx="16">
                  <c:v>2</c:v>
                </c:pt>
                <c:pt idx="17">
                  <c:v>1</c:v>
                </c:pt>
                <c:pt idx="18">
                  <c:v>8</c:v>
                </c:pt>
                <c:pt idx="19">
                  <c:v>3</c:v>
                </c:pt>
              </c:numCache>
            </c:numRef>
          </c:val>
          <c:extLst>
            <c:ext xmlns:c16="http://schemas.microsoft.com/office/drawing/2014/chart" uri="{C3380CC4-5D6E-409C-BE32-E72D297353CC}">
              <c16:uniqueId val="{00000000-099B-4DCE-BFF5-20D4FB404C11}"/>
            </c:ext>
          </c:extLst>
        </c:ser>
        <c:dLbls>
          <c:showLegendKey val="0"/>
          <c:showVal val="0"/>
          <c:showCatName val="0"/>
          <c:showSerName val="0"/>
          <c:showPercent val="0"/>
          <c:showBubbleSize val="0"/>
        </c:dLbls>
        <c:gapWidth val="219"/>
        <c:overlap val="-27"/>
        <c:axId val="69146063"/>
        <c:axId val="69124943"/>
      </c:barChart>
      <c:catAx>
        <c:axId val="6914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4943"/>
        <c:crosses val="autoZero"/>
        <c:auto val="1"/>
        <c:lblAlgn val="ctr"/>
        <c:lblOffset val="100"/>
        <c:noMultiLvlLbl val="0"/>
      </c:catAx>
      <c:valAx>
        <c:axId val="6912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 Dashboard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Nobel</a:t>
            </a:r>
            <a:r>
              <a:rPr lang="en-ID" baseline="0"/>
              <a:t> and Field Medal Achievement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Table'!$B$30</c:f>
              <c:strCache>
                <c:ptCount val="1"/>
                <c:pt idx="0">
                  <c:v>Sum of nobel_laureates</c:v>
                </c:pt>
              </c:strCache>
            </c:strRef>
          </c:tx>
          <c:spPr>
            <a:solidFill>
              <a:schemeClr val="accent1"/>
            </a:solidFill>
            <a:ln>
              <a:noFill/>
            </a:ln>
            <a:effectLst/>
          </c:spPr>
          <c:invertIfNegative val="0"/>
          <c:cat>
            <c:strRef>
              <c:f>'Pivot Table'!$A$31:$A$88</c:f>
              <c:strCache>
                <c:ptCount val="57"/>
                <c:pt idx="0">
                  <c:v>Australian National Univ</c:v>
                </c:pt>
                <c:pt idx="1">
                  <c:v>Caltech</c:v>
                </c:pt>
                <c:pt idx="2">
                  <c:v>Carnegie Mellon University</c:v>
                </c:pt>
                <c:pt idx="3">
                  <c:v>Columbia University</c:v>
                </c:pt>
                <c:pt idx="4">
                  <c:v>Cornell University</c:v>
                </c:pt>
                <c:pt idx="5">
                  <c:v>CUHK Hong Kong</c:v>
                </c:pt>
                <c:pt idx="6">
                  <c:v>Delft Univ of Technology</c:v>
                </c:pt>
                <c:pt idx="7">
                  <c:v>Duke University</c:v>
                </c:pt>
                <c:pt idx="8">
                  <c:v>ETH Zurich</c:v>
                </c:pt>
                <c:pt idx="9">
                  <c:v>Fudan University</c:v>
                </c:pt>
                <c:pt idx="10">
                  <c:v>Harvard University</c:v>
                </c:pt>
                <c:pt idx="11">
                  <c:v>IIT Bombay</c:v>
                </c:pt>
                <c:pt idx="12">
                  <c:v>Imperial College London</c:v>
                </c:pt>
                <c:pt idx="13">
                  <c:v>Johns Hopkins University</c:v>
                </c:pt>
                <c:pt idx="14">
                  <c:v>KAIST</c:v>
                </c:pt>
                <c:pt idx="15">
                  <c:v>KFUPM Saudi Arabia</c:v>
                </c:pt>
                <c:pt idx="16">
                  <c:v>Kings College London</c:v>
                </c:pt>
                <c:pt idx="17">
                  <c:v>Kyoto University</c:v>
                </c:pt>
                <c:pt idx="18">
                  <c:v>LMU Munich</c:v>
                </c:pt>
                <c:pt idx="19">
                  <c:v>LSE</c:v>
                </c:pt>
                <c:pt idx="20">
                  <c:v>McGill University</c:v>
                </c:pt>
                <c:pt idx="21">
                  <c:v>MIT</c:v>
                </c:pt>
                <c:pt idx="22">
                  <c:v>Monash University</c:v>
                </c:pt>
                <c:pt idx="23">
                  <c:v>NTU Singapore</c:v>
                </c:pt>
                <c:pt idx="24">
                  <c:v>NUS Singapore</c:v>
                </c:pt>
                <c:pt idx="25">
                  <c:v>NYU</c:v>
                </c:pt>
                <c:pt idx="26">
                  <c:v>Paris-Saclay University</c:v>
                </c:pt>
                <c:pt idx="27">
                  <c:v>Peking University</c:v>
                </c:pt>
                <c:pt idx="28">
                  <c:v>Politecnico di Milano</c:v>
                </c:pt>
                <c:pt idx="29">
                  <c:v>Princeton University</c:v>
                </c:pt>
                <c:pt idx="30">
                  <c:v>Seoul National University</c:v>
                </c:pt>
                <c:pt idx="31">
                  <c:v>Stanford University</c:v>
                </c:pt>
                <c:pt idx="32">
                  <c:v>Sunway University</c:v>
                </c:pt>
                <c:pt idx="33">
                  <c:v>Technical Univ of Munich</c:v>
                </c:pt>
                <c:pt idx="34">
                  <c:v>Tsinghua University</c:v>
                </c:pt>
                <c:pt idx="35">
                  <c:v>UC Berkeley</c:v>
                </c:pt>
                <c:pt idx="36">
                  <c:v>UCL</c:v>
                </c:pt>
                <c:pt idx="37">
                  <c:v>UCLA</c:v>
                </c:pt>
                <c:pt idx="38">
                  <c:v>Univ of Amsterdam</c:v>
                </c:pt>
                <c:pt idx="39">
                  <c:v>Univ of British Columbia</c:v>
                </c:pt>
                <c:pt idx="40">
                  <c:v>Univ of Cape Town</c:v>
                </c:pt>
                <c:pt idx="41">
                  <c:v>Univ of Chicago</c:v>
                </c:pt>
                <c:pt idx="42">
                  <c:v>Univ of Edinburgh</c:v>
                </c:pt>
                <c:pt idx="43">
                  <c:v>Univ of Hong Kong</c:v>
                </c:pt>
                <c:pt idx="44">
                  <c:v>Univ of Manchester</c:v>
                </c:pt>
                <c:pt idx="45">
                  <c:v>Univ of Melbourne</c:v>
                </c:pt>
                <c:pt idx="46">
                  <c:v>Univ of Michigan</c:v>
                </c:pt>
                <c:pt idx="47">
                  <c:v>Univ of Pennsylvania</c:v>
                </c:pt>
                <c:pt idx="48">
                  <c:v>Univ of Sao Paulo</c:v>
                </c:pt>
                <c:pt idx="49">
                  <c:v>Univ of Sydney</c:v>
                </c:pt>
                <c:pt idx="50">
                  <c:v>Univ of Tokyo</c:v>
                </c:pt>
                <c:pt idx="51">
                  <c:v>Univ of Toronto</c:v>
                </c:pt>
                <c:pt idx="52">
                  <c:v>Univ of Warsaw</c:v>
                </c:pt>
                <c:pt idx="53">
                  <c:v>University of Cambridge</c:v>
                </c:pt>
                <c:pt idx="54">
                  <c:v>University of Oxford</c:v>
                </c:pt>
                <c:pt idx="55">
                  <c:v>UNSW Sydney</c:v>
                </c:pt>
                <c:pt idx="56">
                  <c:v>Yale University</c:v>
                </c:pt>
              </c:strCache>
            </c:strRef>
          </c:cat>
          <c:val>
            <c:numRef>
              <c:f>'Pivot Table'!$B$31:$B$88</c:f>
              <c:numCache>
                <c:formatCode>General</c:formatCode>
                <c:ptCount val="57"/>
                <c:pt idx="0">
                  <c:v>6</c:v>
                </c:pt>
                <c:pt idx="1">
                  <c:v>46</c:v>
                </c:pt>
                <c:pt idx="2">
                  <c:v>21</c:v>
                </c:pt>
                <c:pt idx="3">
                  <c:v>101</c:v>
                </c:pt>
                <c:pt idx="4">
                  <c:v>45</c:v>
                </c:pt>
                <c:pt idx="5">
                  <c:v>0</c:v>
                </c:pt>
                <c:pt idx="6">
                  <c:v>0</c:v>
                </c:pt>
                <c:pt idx="7">
                  <c:v>13</c:v>
                </c:pt>
                <c:pt idx="8">
                  <c:v>32</c:v>
                </c:pt>
                <c:pt idx="9">
                  <c:v>0</c:v>
                </c:pt>
                <c:pt idx="10">
                  <c:v>162</c:v>
                </c:pt>
                <c:pt idx="11">
                  <c:v>0</c:v>
                </c:pt>
                <c:pt idx="12">
                  <c:v>15</c:v>
                </c:pt>
                <c:pt idx="13">
                  <c:v>38</c:v>
                </c:pt>
                <c:pt idx="14">
                  <c:v>0</c:v>
                </c:pt>
                <c:pt idx="15">
                  <c:v>0</c:v>
                </c:pt>
                <c:pt idx="16">
                  <c:v>12</c:v>
                </c:pt>
                <c:pt idx="17">
                  <c:v>11</c:v>
                </c:pt>
                <c:pt idx="18">
                  <c:v>13</c:v>
                </c:pt>
                <c:pt idx="19">
                  <c:v>18</c:v>
                </c:pt>
                <c:pt idx="20">
                  <c:v>14</c:v>
                </c:pt>
                <c:pt idx="21">
                  <c:v>100</c:v>
                </c:pt>
                <c:pt idx="22">
                  <c:v>0</c:v>
                </c:pt>
                <c:pt idx="23">
                  <c:v>0</c:v>
                </c:pt>
                <c:pt idx="24">
                  <c:v>3</c:v>
                </c:pt>
                <c:pt idx="25">
                  <c:v>12</c:v>
                </c:pt>
                <c:pt idx="26">
                  <c:v>22</c:v>
                </c:pt>
                <c:pt idx="27">
                  <c:v>6</c:v>
                </c:pt>
                <c:pt idx="28">
                  <c:v>0</c:v>
                </c:pt>
                <c:pt idx="29">
                  <c:v>64</c:v>
                </c:pt>
                <c:pt idx="30">
                  <c:v>0</c:v>
                </c:pt>
                <c:pt idx="31">
                  <c:v>85</c:v>
                </c:pt>
                <c:pt idx="32">
                  <c:v>0</c:v>
                </c:pt>
                <c:pt idx="33">
                  <c:v>4</c:v>
                </c:pt>
                <c:pt idx="34">
                  <c:v>8</c:v>
                </c:pt>
                <c:pt idx="35">
                  <c:v>107</c:v>
                </c:pt>
                <c:pt idx="36">
                  <c:v>14</c:v>
                </c:pt>
                <c:pt idx="37">
                  <c:v>17</c:v>
                </c:pt>
                <c:pt idx="38">
                  <c:v>16</c:v>
                </c:pt>
                <c:pt idx="39">
                  <c:v>7</c:v>
                </c:pt>
                <c:pt idx="40">
                  <c:v>0</c:v>
                </c:pt>
                <c:pt idx="41">
                  <c:v>100</c:v>
                </c:pt>
                <c:pt idx="42">
                  <c:v>20</c:v>
                </c:pt>
                <c:pt idx="43">
                  <c:v>0</c:v>
                </c:pt>
                <c:pt idx="44">
                  <c:v>25</c:v>
                </c:pt>
                <c:pt idx="45">
                  <c:v>8</c:v>
                </c:pt>
                <c:pt idx="46">
                  <c:v>26</c:v>
                </c:pt>
                <c:pt idx="47">
                  <c:v>8</c:v>
                </c:pt>
                <c:pt idx="48">
                  <c:v>1</c:v>
                </c:pt>
                <c:pt idx="49">
                  <c:v>5</c:v>
                </c:pt>
                <c:pt idx="50">
                  <c:v>11</c:v>
                </c:pt>
                <c:pt idx="51">
                  <c:v>10</c:v>
                </c:pt>
                <c:pt idx="52">
                  <c:v>0</c:v>
                </c:pt>
                <c:pt idx="53">
                  <c:v>121</c:v>
                </c:pt>
                <c:pt idx="54">
                  <c:v>72</c:v>
                </c:pt>
                <c:pt idx="55">
                  <c:v>4</c:v>
                </c:pt>
                <c:pt idx="56">
                  <c:v>65</c:v>
                </c:pt>
              </c:numCache>
            </c:numRef>
          </c:val>
          <c:extLst>
            <c:ext xmlns:c16="http://schemas.microsoft.com/office/drawing/2014/chart" uri="{C3380CC4-5D6E-409C-BE32-E72D297353CC}">
              <c16:uniqueId val="{00000000-71A9-4F5A-BA7C-0F52C907546F}"/>
            </c:ext>
          </c:extLst>
        </c:ser>
        <c:ser>
          <c:idx val="1"/>
          <c:order val="1"/>
          <c:tx>
            <c:strRef>
              <c:f>'Pivot Table'!$C$30</c:f>
              <c:strCache>
                <c:ptCount val="1"/>
                <c:pt idx="0">
                  <c:v>Sum of fields_medalists</c:v>
                </c:pt>
              </c:strCache>
            </c:strRef>
          </c:tx>
          <c:spPr>
            <a:solidFill>
              <a:schemeClr val="accent2"/>
            </a:solidFill>
            <a:ln>
              <a:noFill/>
            </a:ln>
            <a:effectLst/>
          </c:spPr>
          <c:invertIfNegative val="0"/>
          <c:cat>
            <c:strRef>
              <c:f>'Pivot Table'!$A$31:$A$88</c:f>
              <c:strCache>
                <c:ptCount val="57"/>
                <c:pt idx="0">
                  <c:v>Australian National Univ</c:v>
                </c:pt>
                <c:pt idx="1">
                  <c:v>Caltech</c:v>
                </c:pt>
                <c:pt idx="2">
                  <c:v>Carnegie Mellon University</c:v>
                </c:pt>
                <c:pt idx="3">
                  <c:v>Columbia University</c:v>
                </c:pt>
                <c:pt idx="4">
                  <c:v>Cornell University</c:v>
                </c:pt>
                <c:pt idx="5">
                  <c:v>CUHK Hong Kong</c:v>
                </c:pt>
                <c:pt idx="6">
                  <c:v>Delft Univ of Technology</c:v>
                </c:pt>
                <c:pt idx="7">
                  <c:v>Duke University</c:v>
                </c:pt>
                <c:pt idx="8">
                  <c:v>ETH Zurich</c:v>
                </c:pt>
                <c:pt idx="9">
                  <c:v>Fudan University</c:v>
                </c:pt>
                <c:pt idx="10">
                  <c:v>Harvard University</c:v>
                </c:pt>
                <c:pt idx="11">
                  <c:v>IIT Bombay</c:v>
                </c:pt>
                <c:pt idx="12">
                  <c:v>Imperial College London</c:v>
                </c:pt>
                <c:pt idx="13">
                  <c:v>Johns Hopkins University</c:v>
                </c:pt>
                <c:pt idx="14">
                  <c:v>KAIST</c:v>
                </c:pt>
                <c:pt idx="15">
                  <c:v>KFUPM Saudi Arabia</c:v>
                </c:pt>
                <c:pt idx="16">
                  <c:v>Kings College London</c:v>
                </c:pt>
                <c:pt idx="17">
                  <c:v>Kyoto University</c:v>
                </c:pt>
                <c:pt idx="18">
                  <c:v>LMU Munich</c:v>
                </c:pt>
                <c:pt idx="19">
                  <c:v>LSE</c:v>
                </c:pt>
                <c:pt idx="20">
                  <c:v>McGill University</c:v>
                </c:pt>
                <c:pt idx="21">
                  <c:v>MIT</c:v>
                </c:pt>
                <c:pt idx="22">
                  <c:v>Monash University</c:v>
                </c:pt>
                <c:pt idx="23">
                  <c:v>NTU Singapore</c:v>
                </c:pt>
                <c:pt idx="24">
                  <c:v>NUS Singapore</c:v>
                </c:pt>
                <c:pt idx="25">
                  <c:v>NYU</c:v>
                </c:pt>
                <c:pt idx="26">
                  <c:v>Paris-Saclay University</c:v>
                </c:pt>
                <c:pt idx="27">
                  <c:v>Peking University</c:v>
                </c:pt>
                <c:pt idx="28">
                  <c:v>Politecnico di Milano</c:v>
                </c:pt>
                <c:pt idx="29">
                  <c:v>Princeton University</c:v>
                </c:pt>
                <c:pt idx="30">
                  <c:v>Seoul National University</c:v>
                </c:pt>
                <c:pt idx="31">
                  <c:v>Stanford University</c:v>
                </c:pt>
                <c:pt idx="32">
                  <c:v>Sunway University</c:v>
                </c:pt>
                <c:pt idx="33">
                  <c:v>Technical Univ of Munich</c:v>
                </c:pt>
                <c:pt idx="34">
                  <c:v>Tsinghua University</c:v>
                </c:pt>
                <c:pt idx="35">
                  <c:v>UC Berkeley</c:v>
                </c:pt>
                <c:pt idx="36">
                  <c:v>UCL</c:v>
                </c:pt>
                <c:pt idx="37">
                  <c:v>UCLA</c:v>
                </c:pt>
                <c:pt idx="38">
                  <c:v>Univ of Amsterdam</c:v>
                </c:pt>
                <c:pt idx="39">
                  <c:v>Univ of British Columbia</c:v>
                </c:pt>
                <c:pt idx="40">
                  <c:v>Univ of Cape Town</c:v>
                </c:pt>
                <c:pt idx="41">
                  <c:v>Univ of Chicago</c:v>
                </c:pt>
                <c:pt idx="42">
                  <c:v>Univ of Edinburgh</c:v>
                </c:pt>
                <c:pt idx="43">
                  <c:v>Univ of Hong Kong</c:v>
                </c:pt>
                <c:pt idx="44">
                  <c:v>Univ of Manchester</c:v>
                </c:pt>
                <c:pt idx="45">
                  <c:v>Univ of Melbourne</c:v>
                </c:pt>
                <c:pt idx="46">
                  <c:v>Univ of Michigan</c:v>
                </c:pt>
                <c:pt idx="47">
                  <c:v>Univ of Pennsylvania</c:v>
                </c:pt>
                <c:pt idx="48">
                  <c:v>Univ of Sao Paulo</c:v>
                </c:pt>
                <c:pt idx="49">
                  <c:v>Univ of Sydney</c:v>
                </c:pt>
                <c:pt idx="50">
                  <c:v>Univ of Tokyo</c:v>
                </c:pt>
                <c:pt idx="51">
                  <c:v>Univ of Toronto</c:v>
                </c:pt>
                <c:pt idx="52">
                  <c:v>Univ of Warsaw</c:v>
                </c:pt>
                <c:pt idx="53">
                  <c:v>University of Cambridge</c:v>
                </c:pt>
                <c:pt idx="54">
                  <c:v>University of Oxford</c:v>
                </c:pt>
                <c:pt idx="55">
                  <c:v>UNSW Sydney</c:v>
                </c:pt>
                <c:pt idx="56">
                  <c:v>Yale University</c:v>
                </c:pt>
              </c:strCache>
            </c:strRef>
          </c:cat>
          <c:val>
            <c:numRef>
              <c:f>'Pivot Table'!$C$31:$C$88</c:f>
              <c:numCache>
                <c:formatCode>General</c:formatCode>
                <c:ptCount val="57"/>
                <c:pt idx="0">
                  <c:v>0</c:v>
                </c:pt>
                <c:pt idx="1">
                  <c:v>6</c:v>
                </c:pt>
                <c:pt idx="2">
                  <c:v>1</c:v>
                </c:pt>
                <c:pt idx="3">
                  <c:v>0</c:v>
                </c:pt>
                <c:pt idx="4">
                  <c:v>0</c:v>
                </c:pt>
                <c:pt idx="5">
                  <c:v>0</c:v>
                </c:pt>
                <c:pt idx="6">
                  <c:v>0</c:v>
                </c:pt>
                <c:pt idx="7">
                  <c:v>0</c:v>
                </c:pt>
                <c:pt idx="8">
                  <c:v>1</c:v>
                </c:pt>
                <c:pt idx="9">
                  <c:v>0</c:v>
                </c:pt>
                <c:pt idx="10">
                  <c:v>4</c:v>
                </c:pt>
                <c:pt idx="11">
                  <c:v>0</c:v>
                </c:pt>
                <c:pt idx="12">
                  <c:v>0</c:v>
                </c:pt>
                <c:pt idx="13">
                  <c:v>0</c:v>
                </c:pt>
                <c:pt idx="14">
                  <c:v>0</c:v>
                </c:pt>
                <c:pt idx="15">
                  <c:v>0</c:v>
                </c:pt>
                <c:pt idx="16">
                  <c:v>0</c:v>
                </c:pt>
                <c:pt idx="17">
                  <c:v>3</c:v>
                </c:pt>
                <c:pt idx="18">
                  <c:v>0</c:v>
                </c:pt>
                <c:pt idx="19">
                  <c:v>0</c:v>
                </c:pt>
                <c:pt idx="20">
                  <c:v>0</c:v>
                </c:pt>
                <c:pt idx="21">
                  <c:v>1</c:v>
                </c:pt>
                <c:pt idx="22">
                  <c:v>0</c:v>
                </c:pt>
                <c:pt idx="23">
                  <c:v>0</c:v>
                </c:pt>
                <c:pt idx="24">
                  <c:v>0</c:v>
                </c:pt>
                <c:pt idx="25">
                  <c:v>0</c:v>
                </c:pt>
                <c:pt idx="26">
                  <c:v>4</c:v>
                </c:pt>
                <c:pt idx="27">
                  <c:v>0</c:v>
                </c:pt>
                <c:pt idx="28">
                  <c:v>0</c:v>
                </c:pt>
                <c:pt idx="29">
                  <c:v>1</c:v>
                </c:pt>
                <c:pt idx="30">
                  <c:v>0</c:v>
                </c:pt>
                <c:pt idx="31">
                  <c:v>22</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1</c:v>
                </c:pt>
                <c:pt idx="47">
                  <c:v>0</c:v>
                </c:pt>
                <c:pt idx="48">
                  <c:v>0</c:v>
                </c:pt>
                <c:pt idx="49">
                  <c:v>0</c:v>
                </c:pt>
                <c:pt idx="50">
                  <c:v>3</c:v>
                </c:pt>
                <c:pt idx="51">
                  <c:v>0</c:v>
                </c:pt>
                <c:pt idx="52">
                  <c:v>0</c:v>
                </c:pt>
                <c:pt idx="53">
                  <c:v>1</c:v>
                </c:pt>
                <c:pt idx="54">
                  <c:v>0</c:v>
                </c:pt>
                <c:pt idx="55">
                  <c:v>0</c:v>
                </c:pt>
                <c:pt idx="56">
                  <c:v>1</c:v>
                </c:pt>
              </c:numCache>
            </c:numRef>
          </c:val>
          <c:extLst>
            <c:ext xmlns:c16="http://schemas.microsoft.com/office/drawing/2014/chart" uri="{C3380CC4-5D6E-409C-BE32-E72D297353CC}">
              <c16:uniqueId val="{00000001-71A9-4F5A-BA7C-0F52C907546F}"/>
            </c:ext>
          </c:extLst>
        </c:ser>
        <c:dLbls>
          <c:showLegendKey val="0"/>
          <c:showVal val="0"/>
          <c:showCatName val="0"/>
          <c:showSerName val="0"/>
          <c:showPercent val="0"/>
          <c:showBubbleSize val="0"/>
        </c:dLbls>
        <c:gapWidth val="182"/>
        <c:axId val="156823599"/>
        <c:axId val="156820239"/>
      </c:barChart>
      <c:catAx>
        <c:axId val="156823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University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20239"/>
        <c:crosses val="autoZero"/>
        <c:auto val="1"/>
        <c:lblAlgn val="ctr"/>
        <c:lblOffset val="100"/>
        <c:noMultiLvlLbl val="0"/>
      </c:catAx>
      <c:valAx>
        <c:axId val="156820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Sum</a:t>
                </a:r>
                <a:r>
                  <a:rPr lang="en-ID" baseline="0"/>
                  <a:t> of Achievement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2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 Dashboard 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Count</a:t>
            </a:r>
            <a:r>
              <a:rPr lang="en-ID" baseline="0"/>
              <a:t> of Uni in Region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Table'!$B$93</c:f>
              <c:strCache>
                <c:ptCount val="1"/>
                <c:pt idx="0">
                  <c:v>Total</c:v>
                </c:pt>
              </c:strCache>
            </c:strRef>
          </c:tx>
          <c:spPr>
            <a:solidFill>
              <a:schemeClr val="accent1"/>
            </a:solidFill>
            <a:ln>
              <a:noFill/>
            </a:ln>
            <a:effectLst/>
          </c:spPr>
          <c:invertIfNegative val="0"/>
          <c:cat>
            <c:strRef>
              <c:f>'Pivot Table'!$A$94:$A$101</c:f>
              <c:strCache>
                <c:ptCount val="7"/>
                <c:pt idx="0">
                  <c:v>Africa</c:v>
                </c:pt>
                <c:pt idx="1">
                  <c:v>Asia</c:v>
                </c:pt>
                <c:pt idx="2">
                  <c:v>Europe</c:v>
                </c:pt>
                <c:pt idx="3">
                  <c:v>Latin America</c:v>
                </c:pt>
                <c:pt idx="4">
                  <c:v>Middle East</c:v>
                </c:pt>
                <c:pt idx="5">
                  <c:v>North America</c:v>
                </c:pt>
                <c:pt idx="6">
                  <c:v>Oceania</c:v>
                </c:pt>
              </c:strCache>
            </c:strRef>
          </c:cat>
          <c:val>
            <c:numRef>
              <c:f>'Pivot Table'!$B$94:$B$101</c:f>
              <c:numCache>
                <c:formatCode>General</c:formatCode>
                <c:ptCount val="7"/>
                <c:pt idx="0">
                  <c:v>1</c:v>
                </c:pt>
                <c:pt idx="1">
                  <c:v>13</c:v>
                </c:pt>
                <c:pt idx="2">
                  <c:v>16</c:v>
                </c:pt>
                <c:pt idx="3">
                  <c:v>1</c:v>
                </c:pt>
                <c:pt idx="4">
                  <c:v>1</c:v>
                </c:pt>
                <c:pt idx="5">
                  <c:v>20</c:v>
                </c:pt>
                <c:pt idx="6">
                  <c:v>5</c:v>
                </c:pt>
              </c:numCache>
            </c:numRef>
          </c:val>
          <c:extLst>
            <c:ext xmlns:c16="http://schemas.microsoft.com/office/drawing/2014/chart" uri="{C3380CC4-5D6E-409C-BE32-E72D297353CC}">
              <c16:uniqueId val="{00000000-32FF-443C-9B1E-7F8F0E673EDA}"/>
            </c:ext>
          </c:extLst>
        </c:ser>
        <c:dLbls>
          <c:showLegendKey val="0"/>
          <c:showVal val="0"/>
          <c:showCatName val="0"/>
          <c:showSerName val="0"/>
          <c:showPercent val="0"/>
          <c:showBubbleSize val="0"/>
        </c:dLbls>
        <c:gapWidth val="219"/>
        <c:overlap val="-27"/>
        <c:axId val="156811599"/>
        <c:axId val="156799119"/>
      </c:barChart>
      <c:catAx>
        <c:axId val="156811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9119"/>
        <c:crosses val="autoZero"/>
        <c:auto val="1"/>
        <c:lblAlgn val="ctr"/>
        <c:lblOffset val="100"/>
        <c:noMultiLvlLbl val="0"/>
      </c:catAx>
      <c:valAx>
        <c:axId val="156799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1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 Dashboard Project.xlsx]Pivot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Type</a:t>
            </a:r>
            <a:r>
              <a:rPr lang="en-ID" baseline="0"/>
              <a:t> of University in Countries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Private</c:v>
                </c:pt>
              </c:strCache>
            </c:strRef>
          </c:tx>
          <c:spPr>
            <a:solidFill>
              <a:schemeClr val="accent1"/>
            </a:solidFill>
            <a:ln>
              <a:noFill/>
            </a:ln>
            <a:effectLst/>
          </c:spPr>
          <c:invertIfNegative val="0"/>
          <c:cat>
            <c:strRef>
              <c:f>'Pivot Table'!$A$6:$A$26</c:f>
              <c:strCache>
                <c:ptCount val="20"/>
                <c:pt idx="0">
                  <c:v>Australia</c:v>
                </c:pt>
                <c:pt idx="1">
                  <c:v>Brazil</c:v>
                </c:pt>
                <c:pt idx="2">
                  <c:v>Canada</c:v>
                </c:pt>
                <c:pt idx="3">
                  <c:v>China</c:v>
                </c:pt>
                <c:pt idx="4">
                  <c:v>France</c:v>
                </c:pt>
                <c:pt idx="5">
                  <c:v>Germany</c:v>
                </c:pt>
                <c:pt idx="6">
                  <c:v>Hong Kong</c:v>
                </c:pt>
                <c:pt idx="7">
                  <c:v>India</c:v>
                </c:pt>
                <c:pt idx="8">
                  <c:v>Italy</c:v>
                </c:pt>
                <c:pt idx="9">
                  <c:v>Japan</c:v>
                </c:pt>
                <c:pt idx="10">
                  <c:v>Malaysia</c:v>
                </c:pt>
                <c:pt idx="11">
                  <c:v>Netherlands</c:v>
                </c:pt>
                <c:pt idx="12">
                  <c:v>Poland</c:v>
                </c:pt>
                <c:pt idx="13">
                  <c:v>Saudi Arabia</c:v>
                </c:pt>
                <c:pt idx="14">
                  <c:v>Singapore</c:v>
                </c:pt>
                <c:pt idx="15">
                  <c:v>South Africa</c:v>
                </c:pt>
                <c:pt idx="16">
                  <c:v>South Korea</c:v>
                </c:pt>
                <c:pt idx="17">
                  <c:v>Switzerland</c:v>
                </c:pt>
                <c:pt idx="18">
                  <c:v>UK</c:v>
                </c:pt>
                <c:pt idx="19">
                  <c:v>USA</c:v>
                </c:pt>
              </c:strCache>
            </c:strRef>
          </c:cat>
          <c:val>
            <c:numRef>
              <c:f>'Pivot Table'!$B$6:$B$26</c:f>
              <c:numCache>
                <c:formatCode>General</c:formatCode>
                <c:ptCount val="20"/>
                <c:pt idx="10">
                  <c:v>1</c:v>
                </c:pt>
                <c:pt idx="19">
                  <c:v>14</c:v>
                </c:pt>
              </c:numCache>
            </c:numRef>
          </c:val>
          <c:extLst>
            <c:ext xmlns:c16="http://schemas.microsoft.com/office/drawing/2014/chart" uri="{C3380CC4-5D6E-409C-BE32-E72D297353CC}">
              <c16:uniqueId val="{00000000-23B9-402F-99CE-729FBC51DB4D}"/>
            </c:ext>
          </c:extLst>
        </c:ser>
        <c:ser>
          <c:idx val="1"/>
          <c:order val="1"/>
          <c:tx>
            <c:strRef>
              <c:f>'Pivot Table'!$C$4:$C$5</c:f>
              <c:strCache>
                <c:ptCount val="1"/>
                <c:pt idx="0">
                  <c:v>Public</c:v>
                </c:pt>
              </c:strCache>
            </c:strRef>
          </c:tx>
          <c:spPr>
            <a:solidFill>
              <a:schemeClr val="accent2"/>
            </a:solidFill>
            <a:ln>
              <a:noFill/>
            </a:ln>
            <a:effectLst/>
          </c:spPr>
          <c:invertIfNegative val="0"/>
          <c:cat>
            <c:strRef>
              <c:f>'Pivot Table'!$A$6:$A$26</c:f>
              <c:strCache>
                <c:ptCount val="20"/>
                <c:pt idx="0">
                  <c:v>Australia</c:v>
                </c:pt>
                <c:pt idx="1">
                  <c:v>Brazil</c:v>
                </c:pt>
                <c:pt idx="2">
                  <c:v>Canada</c:v>
                </c:pt>
                <c:pt idx="3">
                  <c:v>China</c:v>
                </c:pt>
                <c:pt idx="4">
                  <c:v>France</c:v>
                </c:pt>
                <c:pt idx="5">
                  <c:v>Germany</c:v>
                </c:pt>
                <c:pt idx="6">
                  <c:v>Hong Kong</c:v>
                </c:pt>
                <c:pt idx="7">
                  <c:v>India</c:v>
                </c:pt>
                <c:pt idx="8">
                  <c:v>Italy</c:v>
                </c:pt>
                <c:pt idx="9">
                  <c:v>Japan</c:v>
                </c:pt>
                <c:pt idx="10">
                  <c:v>Malaysia</c:v>
                </c:pt>
                <c:pt idx="11">
                  <c:v>Netherlands</c:v>
                </c:pt>
                <c:pt idx="12">
                  <c:v>Poland</c:v>
                </c:pt>
                <c:pt idx="13">
                  <c:v>Saudi Arabia</c:v>
                </c:pt>
                <c:pt idx="14">
                  <c:v>Singapore</c:v>
                </c:pt>
                <c:pt idx="15">
                  <c:v>South Africa</c:v>
                </c:pt>
                <c:pt idx="16">
                  <c:v>South Korea</c:v>
                </c:pt>
                <c:pt idx="17">
                  <c:v>Switzerland</c:v>
                </c:pt>
                <c:pt idx="18">
                  <c:v>UK</c:v>
                </c:pt>
                <c:pt idx="19">
                  <c:v>USA</c:v>
                </c:pt>
              </c:strCache>
            </c:strRef>
          </c:cat>
          <c:val>
            <c:numRef>
              <c:f>'Pivot Table'!$C$6:$C$26</c:f>
              <c:numCache>
                <c:formatCode>General</c:formatCode>
                <c:ptCount val="20"/>
                <c:pt idx="0">
                  <c:v>5</c:v>
                </c:pt>
                <c:pt idx="1">
                  <c:v>1</c:v>
                </c:pt>
                <c:pt idx="2">
                  <c:v>3</c:v>
                </c:pt>
                <c:pt idx="3">
                  <c:v>3</c:v>
                </c:pt>
                <c:pt idx="4">
                  <c:v>1</c:v>
                </c:pt>
                <c:pt idx="5">
                  <c:v>2</c:v>
                </c:pt>
                <c:pt idx="6">
                  <c:v>2</c:v>
                </c:pt>
                <c:pt idx="7">
                  <c:v>1</c:v>
                </c:pt>
                <c:pt idx="8">
                  <c:v>1</c:v>
                </c:pt>
                <c:pt idx="9">
                  <c:v>2</c:v>
                </c:pt>
                <c:pt idx="11">
                  <c:v>2</c:v>
                </c:pt>
                <c:pt idx="12">
                  <c:v>1</c:v>
                </c:pt>
                <c:pt idx="13">
                  <c:v>1</c:v>
                </c:pt>
                <c:pt idx="14">
                  <c:v>2</c:v>
                </c:pt>
                <c:pt idx="15">
                  <c:v>1</c:v>
                </c:pt>
                <c:pt idx="16">
                  <c:v>2</c:v>
                </c:pt>
                <c:pt idx="17">
                  <c:v>1</c:v>
                </c:pt>
                <c:pt idx="18">
                  <c:v>8</c:v>
                </c:pt>
                <c:pt idx="19">
                  <c:v>3</c:v>
                </c:pt>
              </c:numCache>
            </c:numRef>
          </c:val>
          <c:extLst>
            <c:ext xmlns:c16="http://schemas.microsoft.com/office/drawing/2014/chart" uri="{C3380CC4-5D6E-409C-BE32-E72D297353CC}">
              <c16:uniqueId val="{00000000-5B85-418F-B8D8-29C90D4BFB80}"/>
            </c:ext>
          </c:extLst>
        </c:ser>
        <c:dLbls>
          <c:showLegendKey val="0"/>
          <c:showVal val="0"/>
          <c:showCatName val="0"/>
          <c:showSerName val="0"/>
          <c:showPercent val="0"/>
          <c:showBubbleSize val="0"/>
        </c:dLbls>
        <c:gapWidth val="219"/>
        <c:overlap val="-27"/>
        <c:axId val="69146063"/>
        <c:axId val="69124943"/>
      </c:barChart>
      <c:catAx>
        <c:axId val="6914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4943"/>
        <c:crosses val="autoZero"/>
        <c:auto val="1"/>
        <c:lblAlgn val="ctr"/>
        <c:lblOffset val="100"/>
        <c:noMultiLvlLbl val="0"/>
      </c:catAx>
      <c:valAx>
        <c:axId val="6912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 Dashboard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Nobel</a:t>
            </a:r>
            <a:r>
              <a:rPr lang="en-ID" baseline="0"/>
              <a:t> and Field Medal Achievement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Table'!$B$30</c:f>
              <c:strCache>
                <c:ptCount val="1"/>
                <c:pt idx="0">
                  <c:v>Sum of nobel_laureates</c:v>
                </c:pt>
              </c:strCache>
            </c:strRef>
          </c:tx>
          <c:spPr>
            <a:solidFill>
              <a:schemeClr val="accent1"/>
            </a:solidFill>
            <a:ln>
              <a:noFill/>
            </a:ln>
            <a:effectLst/>
          </c:spPr>
          <c:invertIfNegative val="0"/>
          <c:cat>
            <c:strRef>
              <c:f>'Pivot Table'!$A$31:$A$88</c:f>
              <c:strCache>
                <c:ptCount val="57"/>
                <c:pt idx="0">
                  <c:v>Australian National Univ</c:v>
                </c:pt>
                <c:pt idx="1">
                  <c:v>Caltech</c:v>
                </c:pt>
                <c:pt idx="2">
                  <c:v>Carnegie Mellon University</c:v>
                </c:pt>
                <c:pt idx="3">
                  <c:v>Columbia University</c:v>
                </c:pt>
                <c:pt idx="4">
                  <c:v>Cornell University</c:v>
                </c:pt>
                <c:pt idx="5">
                  <c:v>CUHK Hong Kong</c:v>
                </c:pt>
                <c:pt idx="6">
                  <c:v>Delft Univ of Technology</c:v>
                </c:pt>
                <c:pt idx="7">
                  <c:v>Duke University</c:v>
                </c:pt>
                <c:pt idx="8">
                  <c:v>ETH Zurich</c:v>
                </c:pt>
                <c:pt idx="9">
                  <c:v>Fudan University</c:v>
                </c:pt>
                <c:pt idx="10">
                  <c:v>Harvard University</c:v>
                </c:pt>
                <c:pt idx="11">
                  <c:v>IIT Bombay</c:v>
                </c:pt>
                <c:pt idx="12">
                  <c:v>Imperial College London</c:v>
                </c:pt>
                <c:pt idx="13">
                  <c:v>Johns Hopkins University</c:v>
                </c:pt>
                <c:pt idx="14">
                  <c:v>KAIST</c:v>
                </c:pt>
                <c:pt idx="15">
                  <c:v>KFUPM Saudi Arabia</c:v>
                </c:pt>
                <c:pt idx="16">
                  <c:v>Kings College London</c:v>
                </c:pt>
                <c:pt idx="17">
                  <c:v>Kyoto University</c:v>
                </c:pt>
                <c:pt idx="18">
                  <c:v>LMU Munich</c:v>
                </c:pt>
                <c:pt idx="19">
                  <c:v>LSE</c:v>
                </c:pt>
                <c:pt idx="20">
                  <c:v>McGill University</c:v>
                </c:pt>
                <c:pt idx="21">
                  <c:v>MIT</c:v>
                </c:pt>
                <c:pt idx="22">
                  <c:v>Monash University</c:v>
                </c:pt>
                <c:pt idx="23">
                  <c:v>NTU Singapore</c:v>
                </c:pt>
                <c:pt idx="24">
                  <c:v>NUS Singapore</c:v>
                </c:pt>
                <c:pt idx="25">
                  <c:v>NYU</c:v>
                </c:pt>
                <c:pt idx="26">
                  <c:v>Paris-Saclay University</c:v>
                </c:pt>
                <c:pt idx="27">
                  <c:v>Peking University</c:v>
                </c:pt>
                <c:pt idx="28">
                  <c:v>Politecnico di Milano</c:v>
                </c:pt>
                <c:pt idx="29">
                  <c:v>Princeton University</c:v>
                </c:pt>
                <c:pt idx="30">
                  <c:v>Seoul National University</c:v>
                </c:pt>
                <c:pt idx="31">
                  <c:v>Stanford University</c:v>
                </c:pt>
                <c:pt idx="32">
                  <c:v>Sunway University</c:v>
                </c:pt>
                <c:pt idx="33">
                  <c:v>Technical Univ of Munich</c:v>
                </c:pt>
                <c:pt idx="34">
                  <c:v>Tsinghua University</c:v>
                </c:pt>
                <c:pt idx="35">
                  <c:v>UC Berkeley</c:v>
                </c:pt>
                <c:pt idx="36">
                  <c:v>UCL</c:v>
                </c:pt>
                <c:pt idx="37">
                  <c:v>UCLA</c:v>
                </c:pt>
                <c:pt idx="38">
                  <c:v>Univ of Amsterdam</c:v>
                </c:pt>
                <c:pt idx="39">
                  <c:v>Univ of British Columbia</c:v>
                </c:pt>
                <c:pt idx="40">
                  <c:v>Univ of Cape Town</c:v>
                </c:pt>
                <c:pt idx="41">
                  <c:v>Univ of Chicago</c:v>
                </c:pt>
                <c:pt idx="42">
                  <c:v>Univ of Edinburgh</c:v>
                </c:pt>
                <c:pt idx="43">
                  <c:v>Univ of Hong Kong</c:v>
                </c:pt>
                <c:pt idx="44">
                  <c:v>Univ of Manchester</c:v>
                </c:pt>
                <c:pt idx="45">
                  <c:v>Univ of Melbourne</c:v>
                </c:pt>
                <c:pt idx="46">
                  <c:v>Univ of Michigan</c:v>
                </c:pt>
                <c:pt idx="47">
                  <c:v>Univ of Pennsylvania</c:v>
                </c:pt>
                <c:pt idx="48">
                  <c:v>Univ of Sao Paulo</c:v>
                </c:pt>
                <c:pt idx="49">
                  <c:v>Univ of Sydney</c:v>
                </c:pt>
                <c:pt idx="50">
                  <c:v>Univ of Tokyo</c:v>
                </c:pt>
                <c:pt idx="51">
                  <c:v>Univ of Toronto</c:v>
                </c:pt>
                <c:pt idx="52">
                  <c:v>Univ of Warsaw</c:v>
                </c:pt>
                <c:pt idx="53">
                  <c:v>University of Cambridge</c:v>
                </c:pt>
                <c:pt idx="54">
                  <c:v>University of Oxford</c:v>
                </c:pt>
                <c:pt idx="55">
                  <c:v>UNSW Sydney</c:v>
                </c:pt>
                <c:pt idx="56">
                  <c:v>Yale University</c:v>
                </c:pt>
              </c:strCache>
            </c:strRef>
          </c:cat>
          <c:val>
            <c:numRef>
              <c:f>'Pivot Table'!$B$31:$B$88</c:f>
              <c:numCache>
                <c:formatCode>General</c:formatCode>
                <c:ptCount val="57"/>
                <c:pt idx="0">
                  <c:v>6</c:v>
                </c:pt>
                <c:pt idx="1">
                  <c:v>46</c:v>
                </c:pt>
                <c:pt idx="2">
                  <c:v>21</c:v>
                </c:pt>
                <c:pt idx="3">
                  <c:v>101</c:v>
                </c:pt>
                <c:pt idx="4">
                  <c:v>45</c:v>
                </c:pt>
                <c:pt idx="5">
                  <c:v>0</c:v>
                </c:pt>
                <c:pt idx="6">
                  <c:v>0</c:v>
                </c:pt>
                <c:pt idx="7">
                  <c:v>13</c:v>
                </c:pt>
                <c:pt idx="8">
                  <c:v>32</c:v>
                </c:pt>
                <c:pt idx="9">
                  <c:v>0</c:v>
                </c:pt>
                <c:pt idx="10">
                  <c:v>162</c:v>
                </c:pt>
                <c:pt idx="11">
                  <c:v>0</c:v>
                </c:pt>
                <c:pt idx="12">
                  <c:v>15</c:v>
                </c:pt>
                <c:pt idx="13">
                  <c:v>38</c:v>
                </c:pt>
                <c:pt idx="14">
                  <c:v>0</c:v>
                </c:pt>
                <c:pt idx="15">
                  <c:v>0</c:v>
                </c:pt>
                <c:pt idx="16">
                  <c:v>12</c:v>
                </c:pt>
                <c:pt idx="17">
                  <c:v>11</c:v>
                </c:pt>
                <c:pt idx="18">
                  <c:v>13</c:v>
                </c:pt>
                <c:pt idx="19">
                  <c:v>18</c:v>
                </c:pt>
                <c:pt idx="20">
                  <c:v>14</c:v>
                </c:pt>
                <c:pt idx="21">
                  <c:v>100</c:v>
                </c:pt>
                <c:pt idx="22">
                  <c:v>0</c:v>
                </c:pt>
                <c:pt idx="23">
                  <c:v>0</c:v>
                </c:pt>
                <c:pt idx="24">
                  <c:v>3</c:v>
                </c:pt>
                <c:pt idx="25">
                  <c:v>12</c:v>
                </c:pt>
                <c:pt idx="26">
                  <c:v>22</c:v>
                </c:pt>
                <c:pt idx="27">
                  <c:v>6</c:v>
                </c:pt>
                <c:pt idx="28">
                  <c:v>0</c:v>
                </c:pt>
                <c:pt idx="29">
                  <c:v>64</c:v>
                </c:pt>
                <c:pt idx="30">
                  <c:v>0</c:v>
                </c:pt>
                <c:pt idx="31">
                  <c:v>85</c:v>
                </c:pt>
                <c:pt idx="32">
                  <c:v>0</c:v>
                </c:pt>
                <c:pt idx="33">
                  <c:v>4</c:v>
                </c:pt>
                <c:pt idx="34">
                  <c:v>8</c:v>
                </c:pt>
                <c:pt idx="35">
                  <c:v>107</c:v>
                </c:pt>
                <c:pt idx="36">
                  <c:v>14</c:v>
                </c:pt>
                <c:pt idx="37">
                  <c:v>17</c:v>
                </c:pt>
                <c:pt idx="38">
                  <c:v>16</c:v>
                </c:pt>
                <c:pt idx="39">
                  <c:v>7</c:v>
                </c:pt>
                <c:pt idx="40">
                  <c:v>0</c:v>
                </c:pt>
                <c:pt idx="41">
                  <c:v>100</c:v>
                </c:pt>
                <c:pt idx="42">
                  <c:v>20</c:v>
                </c:pt>
                <c:pt idx="43">
                  <c:v>0</c:v>
                </c:pt>
                <c:pt idx="44">
                  <c:v>25</c:v>
                </c:pt>
                <c:pt idx="45">
                  <c:v>8</c:v>
                </c:pt>
                <c:pt idx="46">
                  <c:v>26</c:v>
                </c:pt>
                <c:pt idx="47">
                  <c:v>8</c:v>
                </c:pt>
                <c:pt idx="48">
                  <c:v>1</c:v>
                </c:pt>
                <c:pt idx="49">
                  <c:v>5</c:v>
                </c:pt>
                <c:pt idx="50">
                  <c:v>11</c:v>
                </c:pt>
                <c:pt idx="51">
                  <c:v>10</c:v>
                </c:pt>
                <c:pt idx="52">
                  <c:v>0</c:v>
                </c:pt>
                <c:pt idx="53">
                  <c:v>121</c:v>
                </c:pt>
                <c:pt idx="54">
                  <c:v>72</c:v>
                </c:pt>
                <c:pt idx="55">
                  <c:v>4</c:v>
                </c:pt>
                <c:pt idx="56">
                  <c:v>65</c:v>
                </c:pt>
              </c:numCache>
            </c:numRef>
          </c:val>
          <c:extLst>
            <c:ext xmlns:c16="http://schemas.microsoft.com/office/drawing/2014/chart" uri="{C3380CC4-5D6E-409C-BE32-E72D297353CC}">
              <c16:uniqueId val="{00000000-4FB6-445E-9747-89D038F8B698}"/>
            </c:ext>
          </c:extLst>
        </c:ser>
        <c:ser>
          <c:idx val="1"/>
          <c:order val="1"/>
          <c:tx>
            <c:strRef>
              <c:f>'Pivot Table'!$C$30</c:f>
              <c:strCache>
                <c:ptCount val="1"/>
                <c:pt idx="0">
                  <c:v>Sum of fields_medalists</c:v>
                </c:pt>
              </c:strCache>
            </c:strRef>
          </c:tx>
          <c:spPr>
            <a:solidFill>
              <a:schemeClr val="accent2"/>
            </a:solidFill>
            <a:ln>
              <a:noFill/>
            </a:ln>
            <a:effectLst/>
          </c:spPr>
          <c:invertIfNegative val="0"/>
          <c:cat>
            <c:strRef>
              <c:f>'Pivot Table'!$A$31:$A$88</c:f>
              <c:strCache>
                <c:ptCount val="57"/>
                <c:pt idx="0">
                  <c:v>Australian National Univ</c:v>
                </c:pt>
                <c:pt idx="1">
                  <c:v>Caltech</c:v>
                </c:pt>
                <c:pt idx="2">
                  <c:v>Carnegie Mellon University</c:v>
                </c:pt>
                <c:pt idx="3">
                  <c:v>Columbia University</c:v>
                </c:pt>
                <c:pt idx="4">
                  <c:v>Cornell University</c:v>
                </c:pt>
                <c:pt idx="5">
                  <c:v>CUHK Hong Kong</c:v>
                </c:pt>
                <c:pt idx="6">
                  <c:v>Delft Univ of Technology</c:v>
                </c:pt>
                <c:pt idx="7">
                  <c:v>Duke University</c:v>
                </c:pt>
                <c:pt idx="8">
                  <c:v>ETH Zurich</c:v>
                </c:pt>
                <c:pt idx="9">
                  <c:v>Fudan University</c:v>
                </c:pt>
                <c:pt idx="10">
                  <c:v>Harvard University</c:v>
                </c:pt>
                <c:pt idx="11">
                  <c:v>IIT Bombay</c:v>
                </c:pt>
                <c:pt idx="12">
                  <c:v>Imperial College London</c:v>
                </c:pt>
                <c:pt idx="13">
                  <c:v>Johns Hopkins University</c:v>
                </c:pt>
                <c:pt idx="14">
                  <c:v>KAIST</c:v>
                </c:pt>
                <c:pt idx="15">
                  <c:v>KFUPM Saudi Arabia</c:v>
                </c:pt>
                <c:pt idx="16">
                  <c:v>Kings College London</c:v>
                </c:pt>
                <c:pt idx="17">
                  <c:v>Kyoto University</c:v>
                </c:pt>
                <c:pt idx="18">
                  <c:v>LMU Munich</c:v>
                </c:pt>
                <c:pt idx="19">
                  <c:v>LSE</c:v>
                </c:pt>
                <c:pt idx="20">
                  <c:v>McGill University</c:v>
                </c:pt>
                <c:pt idx="21">
                  <c:v>MIT</c:v>
                </c:pt>
                <c:pt idx="22">
                  <c:v>Monash University</c:v>
                </c:pt>
                <c:pt idx="23">
                  <c:v>NTU Singapore</c:v>
                </c:pt>
                <c:pt idx="24">
                  <c:v>NUS Singapore</c:v>
                </c:pt>
                <c:pt idx="25">
                  <c:v>NYU</c:v>
                </c:pt>
                <c:pt idx="26">
                  <c:v>Paris-Saclay University</c:v>
                </c:pt>
                <c:pt idx="27">
                  <c:v>Peking University</c:v>
                </c:pt>
                <c:pt idx="28">
                  <c:v>Politecnico di Milano</c:v>
                </c:pt>
                <c:pt idx="29">
                  <c:v>Princeton University</c:v>
                </c:pt>
                <c:pt idx="30">
                  <c:v>Seoul National University</c:v>
                </c:pt>
                <c:pt idx="31">
                  <c:v>Stanford University</c:v>
                </c:pt>
                <c:pt idx="32">
                  <c:v>Sunway University</c:v>
                </c:pt>
                <c:pt idx="33">
                  <c:v>Technical Univ of Munich</c:v>
                </c:pt>
                <c:pt idx="34">
                  <c:v>Tsinghua University</c:v>
                </c:pt>
                <c:pt idx="35">
                  <c:v>UC Berkeley</c:v>
                </c:pt>
                <c:pt idx="36">
                  <c:v>UCL</c:v>
                </c:pt>
                <c:pt idx="37">
                  <c:v>UCLA</c:v>
                </c:pt>
                <c:pt idx="38">
                  <c:v>Univ of Amsterdam</c:v>
                </c:pt>
                <c:pt idx="39">
                  <c:v>Univ of British Columbia</c:v>
                </c:pt>
                <c:pt idx="40">
                  <c:v>Univ of Cape Town</c:v>
                </c:pt>
                <c:pt idx="41">
                  <c:v>Univ of Chicago</c:v>
                </c:pt>
                <c:pt idx="42">
                  <c:v>Univ of Edinburgh</c:v>
                </c:pt>
                <c:pt idx="43">
                  <c:v>Univ of Hong Kong</c:v>
                </c:pt>
                <c:pt idx="44">
                  <c:v>Univ of Manchester</c:v>
                </c:pt>
                <c:pt idx="45">
                  <c:v>Univ of Melbourne</c:v>
                </c:pt>
                <c:pt idx="46">
                  <c:v>Univ of Michigan</c:v>
                </c:pt>
                <c:pt idx="47">
                  <c:v>Univ of Pennsylvania</c:v>
                </c:pt>
                <c:pt idx="48">
                  <c:v>Univ of Sao Paulo</c:v>
                </c:pt>
                <c:pt idx="49">
                  <c:v>Univ of Sydney</c:v>
                </c:pt>
                <c:pt idx="50">
                  <c:v>Univ of Tokyo</c:v>
                </c:pt>
                <c:pt idx="51">
                  <c:v>Univ of Toronto</c:v>
                </c:pt>
                <c:pt idx="52">
                  <c:v>Univ of Warsaw</c:v>
                </c:pt>
                <c:pt idx="53">
                  <c:v>University of Cambridge</c:v>
                </c:pt>
                <c:pt idx="54">
                  <c:v>University of Oxford</c:v>
                </c:pt>
                <c:pt idx="55">
                  <c:v>UNSW Sydney</c:v>
                </c:pt>
                <c:pt idx="56">
                  <c:v>Yale University</c:v>
                </c:pt>
              </c:strCache>
            </c:strRef>
          </c:cat>
          <c:val>
            <c:numRef>
              <c:f>'Pivot Table'!$C$31:$C$88</c:f>
              <c:numCache>
                <c:formatCode>General</c:formatCode>
                <c:ptCount val="57"/>
                <c:pt idx="0">
                  <c:v>0</c:v>
                </c:pt>
                <c:pt idx="1">
                  <c:v>6</c:v>
                </c:pt>
                <c:pt idx="2">
                  <c:v>1</c:v>
                </c:pt>
                <c:pt idx="3">
                  <c:v>0</c:v>
                </c:pt>
                <c:pt idx="4">
                  <c:v>0</c:v>
                </c:pt>
                <c:pt idx="5">
                  <c:v>0</c:v>
                </c:pt>
                <c:pt idx="6">
                  <c:v>0</c:v>
                </c:pt>
                <c:pt idx="7">
                  <c:v>0</c:v>
                </c:pt>
                <c:pt idx="8">
                  <c:v>1</c:v>
                </c:pt>
                <c:pt idx="9">
                  <c:v>0</c:v>
                </c:pt>
                <c:pt idx="10">
                  <c:v>4</c:v>
                </c:pt>
                <c:pt idx="11">
                  <c:v>0</c:v>
                </c:pt>
                <c:pt idx="12">
                  <c:v>0</c:v>
                </c:pt>
                <c:pt idx="13">
                  <c:v>0</c:v>
                </c:pt>
                <c:pt idx="14">
                  <c:v>0</c:v>
                </c:pt>
                <c:pt idx="15">
                  <c:v>0</c:v>
                </c:pt>
                <c:pt idx="16">
                  <c:v>0</c:v>
                </c:pt>
                <c:pt idx="17">
                  <c:v>3</c:v>
                </c:pt>
                <c:pt idx="18">
                  <c:v>0</c:v>
                </c:pt>
                <c:pt idx="19">
                  <c:v>0</c:v>
                </c:pt>
                <c:pt idx="20">
                  <c:v>0</c:v>
                </c:pt>
                <c:pt idx="21">
                  <c:v>1</c:v>
                </c:pt>
                <c:pt idx="22">
                  <c:v>0</c:v>
                </c:pt>
                <c:pt idx="23">
                  <c:v>0</c:v>
                </c:pt>
                <c:pt idx="24">
                  <c:v>0</c:v>
                </c:pt>
                <c:pt idx="25">
                  <c:v>0</c:v>
                </c:pt>
                <c:pt idx="26">
                  <c:v>4</c:v>
                </c:pt>
                <c:pt idx="27">
                  <c:v>0</c:v>
                </c:pt>
                <c:pt idx="28">
                  <c:v>0</c:v>
                </c:pt>
                <c:pt idx="29">
                  <c:v>1</c:v>
                </c:pt>
                <c:pt idx="30">
                  <c:v>0</c:v>
                </c:pt>
                <c:pt idx="31">
                  <c:v>22</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1</c:v>
                </c:pt>
                <c:pt idx="47">
                  <c:v>0</c:v>
                </c:pt>
                <c:pt idx="48">
                  <c:v>0</c:v>
                </c:pt>
                <c:pt idx="49">
                  <c:v>0</c:v>
                </c:pt>
                <c:pt idx="50">
                  <c:v>3</c:v>
                </c:pt>
                <c:pt idx="51">
                  <c:v>0</c:v>
                </c:pt>
                <c:pt idx="52">
                  <c:v>0</c:v>
                </c:pt>
                <c:pt idx="53">
                  <c:v>1</c:v>
                </c:pt>
                <c:pt idx="54">
                  <c:v>0</c:v>
                </c:pt>
                <c:pt idx="55">
                  <c:v>0</c:v>
                </c:pt>
                <c:pt idx="56">
                  <c:v>1</c:v>
                </c:pt>
              </c:numCache>
            </c:numRef>
          </c:val>
          <c:extLst>
            <c:ext xmlns:c16="http://schemas.microsoft.com/office/drawing/2014/chart" uri="{C3380CC4-5D6E-409C-BE32-E72D297353CC}">
              <c16:uniqueId val="{00000001-4FB6-445E-9747-89D038F8B698}"/>
            </c:ext>
          </c:extLst>
        </c:ser>
        <c:dLbls>
          <c:showLegendKey val="0"/>
          <c:showVal val="0"/>
          <c:showCatName val="0"/>
          <c:showSerName val="0"/>
          <c:showPercent val="0"/>
          <c:showBubbleSize val="0"/>
        </c:dLbls>
        <c:gapWidth val="182"/>
        <c:axId val="156823599"/>
        <c:axId val="156820239"/>
      </c:barChart>
      <c:catAx>
        <c:axId val="156823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University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20239"/>
        <c:crosses val="autoZero"/>
        <c:auto val="1"/>
        <c:lblAlgn val="ctr"/>
        <c:lblOffset val="100"/>
        <c:noMultiLvlLbl val="0"/>
      </c:catAx>
      <c:valAx>
        <c:axId val="156820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Sum</a:t>
                </a:r>
                <a:r>
                  <a:rPr lang="en-ID" baseline="0"/>
                  <a:t> of Achievement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2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 Dashboard Project.xlsx]Pivot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Count</a:t>
            </a:r>
            <a:r>
              <a:rPr lang="en-ID" baseline="0"/>
              <a:t> of Uni in Region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Table'!$B$93</c:f>
              <c:strCache>
                <c:ptCount val="1"/>
                <c:pt idx="0">
                  <c:v>Total</c:v>
                </c:pt>
              </c:strCache>
            </c:strRef>
          </c:tx>
          <c:spPr>
            <a:solidFill>
              <a:schemeClr val="accent1"/>
            </a:solidFill>
            <a:ln>
              <a:noFill/>
            </a:ln>
            <a:effectLst/>
          </c:spPr>
          <c:invertIfNegative val="0"/>
          <c:cat>
            <c:strRef>
              <c:f>'Pivot Table'!$A$94:$A$101</c:f>
              <c:strCache>
                <c:ptCount val="7"/>
                <c:pt idx="0">
                  <c:v>Africa</c:v>
                </c:pt>
                <c:pt idx="1">
                  <c:v>Asia</c:v>
                </c:pt>
                <c:pt idx="2">
                  <c:v>Europe</c:v>
                </c:pt>
                <c:pt idx="3">
                  <c:v>Latin America</c:v>
                </c:pt>
                <c:pt idx="4">
                  <c:v>Middle East</c:v>
                </c:pt>
                <c:pt idx="5">
                  <c:v>North America</c:v>
                </c:pt>
                <c:pt idx="6">
                  <c:v>Oceania</c:v>
                </c:pt>
              </c:strCache>
            </c:strRef>
          </c:cat>
          <c:val>
            <c:numRef>
              <c:f>'Pivot Table'!$B$94:$B$101</c:f>
              <c:numCache>
                <c:formatCode>General</c:formatCode>
                <c:ptCount val="7"/>
                <c:pt idx="0">
                  <c:v>1</c:v>
                </c:pt>
                <c:pt idx="1">
                  <c:v>13</c:v>
                </c:pt>
                <c:pt idx="2">
                  <c:v>16</c:v>
                </c:pt>
                <c:pt idx="3">
                  <c:v>1</c:v>
                </c:pt>
                <c:pt idx="4">
                  <c:v>1</c:v>
                </c:pt>
                <c:pt idx="5">
                  <c:v>20</c:v>
                </c:pt>
                <c:pt idx="6">
                  <c:v>5</c:v>
                </c:pt>
              </c:numCache>
            </c:numRef>
          </c:val>
          <c:extLst>
            <c:ext xmlns:c16="http://schemas.microsoft.com/office/drawing/2014/chart" uri="{C3380CC4-5D6E-409C-BE32-E72D297353CC}">
              <c16:uniqueId val="{00000000-A2B3-4E91-AABF-EB04855E70ED}"/>
            </c:ext>
          </c:extLst>
        </c:ser>
        <c:dLbls>
          <c:showLegendKey val="0"/>
          <c:showVal val="0"/>
          <c:showCatName val="0"/>
          <c:showSerName val="0"/>
          <c:showPercent val="0"/>
          <c:showBubbleSize val="0"/>
        </c:dLbls>
        <c:gapWidth val="219"/>
        <c:overlap val="-27"/>
        <c:axId val="156811599"/>
        <c:axId val="156799119"/>
      </c:barChart>
      <c:catAx>
        <c:axId val="156811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9119"/>
        <c:crosses val="autoZero"/>
        <c:auto val="1"/>
        <c:lblAlgn val="ctr"/>
        <c:lblOffset val="100"/>
        <c:noMultiLvlLbl val="0"/>
      </c:catAx>
      <c:valAx>
        <c:axId val="156799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1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190499</xdr:rowOff>
    </xdr:from>
    <xdr:to>
      <xdr:col>19</xdr:col>
      <xdr:colOff>76200</xdr:colOff>
      <xdr:row>25</xdr:row>
      <xdr:rowOff>171450</xdr:rowOff>
    </xdr:to>
    <xdr:graphicFrame macro="">
      <xdr:nvGraphicFramePr>
        <xdr:cNvPr id="3" name="Chart 2">
          <a:extLst>
            <a:ext uri="{FF2B5EF4-FFF2-40B4-BE49-F238E27FC236}">
              <a16:creationId xmlns:a16="http://schemas.microsoft.com/office/drawing/2014/main" id="{33FCF474-589F-F5E1-73AF-D90D2EB67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85724</xdr:colOff>
      <xdr:row>28</xdr:row>
      <xdr:rowOff>171450</xdr:rowOff>
    </xdr:from>
    <xdr:to>
      <xdr:col>12</xdr:col>
      <xdr:colOff>638174</xdr:colOff>
      <xdr:row>74</xdr:row>
      <xdr:rowOff>19050</xdr:rowOff>
    </xdr:to>
    <xdr:graphicFrame macro="">
      <xdr:nvGraphicFramePr>
        <xdr:cNvPr id="4" name="Chart 3">
          <a:extLst>
            <a:ext uri="{FF2B5EF4-FFF2-40B4-BE49-F238E27FC236}">
              <a16:creationId xmlns:a16="http://schemas.microsoft.com/office/drawing/2014/main" id="{30C93326-C32A-FBD2-303B-6222A2DA7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419100</xdr:colOff>
      <xdr:row>91</xdr:row>
      <xdr:rowOff>152400</xdr:rowOff>
    </xdr:from>
    <xdr:to>
      <xdr:col>10</xdr:col>
      <xdr:colOff>438150</xdr:colOff>
      <xdr:row>106</xdr:row>
      <xdr:rowOff>38100</xdr:rowOff>
    </xdr:to>
    <xdr:graphicFrame macro="">
      <xdr:nvGraphicFramePr>
        <xdr:cNvPr id="5" name="Chart 4">
          <a:extLst>
            <a:ext uri="{FF2B5EF4-FFF2-40B4-BE49-F238E27FC236}">
              <a16:creationId xmlns:a16="http://schemas.microsoft.com/office/drawing/2014/main" id="{DD8F6745-C4D1-1333-B9FE-42A211351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16710</xdr:colOff>
      <xdr:row>5</xdr:row>
      <xdr:rowOff>45440</xdr:rowOff>
    </xdr:from>
    <xdr:to>
      <xdr:col>13</xdr:col>
      <xdr:colOff>410992</xdr:colOff>
      <xdr:row>28</xdr:row>
      <xdr:rowOff>51213</xdr:rowOff>
    </xdr:to>
    <xdr:graphicFrame macro="">
      <xdr:nvGraphicFramePr>
        <xdr:cNvPr id="2" name="Chart 1">
          <a:extLst>
            <a:ext uri="{FF2B5EF4-FFF2-40B4-BE49-F238E27FC236}">
              <a16:creationId xmlns:a16="http://schemas.microsoft.com/office/drawing/2014/main" id="{8D77AD99-E43F-4393-8475-B7513BBE0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470932</xdr:colOff>
      <xdr:row>5</xdr:row>
      <xdr:rowOff>66835</xdr:rowOff>
    </xdr:from>
    <xdr:to>
      <xdr:col>24</xdr:col>
      <xdr:colOff>0</xdr:colOff>
      <xdr:row>48</xdr:row>
      <xdr:rowOff>27964</xdr:rowOff>
    </xdr:to>
    <xdr:graphicFrame macro="">
      <xdr:nvGraphicFramePr>
        <xdr:cNvPr id="3" name="Chart 2">
          <a:extLst>
            <a:ext uri="{FF2B5EF4-FFF2-40B4-BE49-F238E27FC236}">
              <a16:creationId xmlns:a16="http://schemas.microsoft.com/office/drawing/2014/main" id="{12762D05-3A90-4C0E-BE6B-58EEF6F47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41414</xdr:colOff>
      <xdr:row>28</xdr:row>
      <xdr:rowOff>166372</xdr:rowOff>
    </xdr:from>
    <xdr:to>
      <xdr:col>13</xdr:col>
      <xdr:colOff>414130</xdr:colOff>
      <xdr:row>48</xdr:row>
      <xdr:rowOff>23969</xdr:rowOff>
    </xdr:to>
    <xdr:graphicFrame macro="">
      <xdr:nvGraphicFramePr>
        <xdr:cNvPr id="4" name="Chart 3">
          <a:extLst>
            <a:ext uri="{FF2B5EF4-FFF2-40B4-BE49-F238E27FC236}">
              <a16:creationId xmlns:a16="http://schemas.microsoft.com/office/drawing/2014/main" id="{F78E313A-7BF3-4C8E-876C-8D53765E7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56983</xdr:rowOff>
    </xdr:from>
    <xdr:to>
      <xdr:col>3</xdr:col>
      <xdr:colOff>24063</xdr:colOff>
      <xdr:row>24</xdr:row>
      <xdr:rowOff>0</xdr:rowOff>
    </xdr:to>
    <mc:AlternateContent xmlns:mc="http://schemas.openxmlformats.org/markup-compatibility/2006" xmlns:a14="http://schemas.microsoft.com/office/drawing/2010/main">
      <mc:Choice Requires="a14">
        <xdr:graphicFrame macro="">
          <xdr:nvGraphicFramePr>
            <xdr:cNvPr id="5" name="university">
              <a:extLst>
                <a:ext uri="{FF2B5EF4-FFF2-40B4-BE49-F238E27FC236}">
                  <a16:creationId xmlns:a16="http://schemas.microsoft.com/office/drawing/2014/main" id="{987F3C16-2C72-3798-0613-260B47ED0DE0}"/>
                </a:ext>
              </a:extLst>
            </xdr:cNvPr>
            <xdr:cNvGraphicFramePr/>
          </xdr:nvGraphicFramePr>
          <xdr:xfrm>
            <a:off x="0" y="0"/>
            <a:ext cx="0" cy="0"/>
          </xdr:xfrm>
          <a:graphic>
            <a:graphicData uri="http://schemas.microsoft.com/office/drawing/2010/slicer">
              <sle:slicer xmlns:sle="http://schemas.microsoft.com/office/drawing/2010/slicer" name="university"/>
            </a:graphicData>
          </a:graphic>
        </xdr:graphicFrame>
      </mc:Choice>
      <mc:Fallback xmlns="">
        <xdr:sp macro="" textlink="">
          <xdr:nvSpPr>
            <xdr:cNvPr id="0" name=""/>
            <xdr:cNvSpPr>
              <a:spLocks noTextEdit="1"/>
            </xdr:cNvSpPr>
          </xdr:nvSpPr>
          <xdr:spPr>
            <a:xfrm>
              <a:off x="0" y="976062"/>
              <a:ext cx="1828800" cy="343551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40272</xdr:rowOff>
    </xdr:from>
    <xdr:to>
      <xdr:col>3</xdr:col>
      <xdr:colOff>24063</xdr:colOff>
      <xdr:row>48</xdr:row>
      <xdr:rowOff>33421</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13CD512A-DB3F-ADEE-1CBC-1110B869F05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4451851"/>
              <a:ext cx="1828800" cy="440472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3.445955208335" createdVersion="8" refreshedVersion="8" minRefreshableVersion="3" recordCount="57" xr:uid="{318FE322-A76C-4294-AD06-213F080DE1A7}">
  <cacheSource type="worksheet">
    <worksheetSource name="world_university_rankings_20263"/>
  </cacheSource>
  <cacheFields count="30">
    <cacheField name="university" numFmtId="0">
      <sharedItems count="57">
        <s v="MIT"/>
        <s v="Imperial College London"/>
        <s v="Stanford University"/>
        <s v="University of Oxford"/>
        <s v="Harvard University"/>
        <s v="University of Cambridge"/>
        <s v="ETH Zurich"/>
        <s v="NUS Singapore"/>
        <s v="UCL"/>
        <s v="Caltech"/>
        <s v="Univ of Chicago"/>
        <s v="Princeton University"/>
        <s v="Univ of Hong Kong"/>
        <s v="NTU Singapore"/>
        <s v="Cornell University"/>
        <s v="Yale University"/>
        <s v="Columbia University"/>
        <s v="Univ of Pennsylvania"/>
        <s v="Univ of Melbourne"/>
        <s v="Peking University"/>
        <s v="Tsinghua University"/>
        <s v="UC Berkeley"/>
        <s v="Johns Hopkins University"/>
        <s v="Univ of Sydney"/>
        <s v="Duke University"/>
        <s v="Univ of Toronto"/>
        <s v="Univ of Michigan"/>
        <s v="Kings College London"/>
        <s v="Univ of Manchester"/>
        <s v="McGill University"/>
        <s v="Seoul National University"/>
        <s v="Fudan University"/>
        <s v="Univ of Tokyo"/>
        <s v="Univ of Edinburgh"/>
        <s v="CUHK Hong Kong"/>
        <s v="UCLA"/>
        <s v="UNSW Sydney"/>
        <s v="Paris-Saclay University"/>
        <s v="LSE"/>
        <s v="Kyoto University"/>
        <s v="Univ of Amsterdam"/>
        <s v="KAIST"/>
        <s v="Australian National Univ"/>
        <s v="Carnegie Mellon University"/>
        <s v="NYU"/>
        <s v="Monash University"/>
        <s v="Delft Univ of Technology"/>
        <s v="Univ of British Columbia"/>
        <s v="Technical Univ of Munich"/>
        <s v="LMU Munich"/>
        <s v="Univ of Sao Paulo"/>
        <s v="Univ of Cape Town"/>
        <s v="IIT Bombay"/>
        <s v="KFUPM Saudi Arabia"/>
        <s v="Politecnico di Milano"/>
        <s v="Univ of Warsaw"/>
        <s v="Sunway University"/>
      </sharedItems>
    </cacheField>
    <cacheField name="country" numFmtId="0">
      <sharedItems count="20">
        <s v="USA"/>
        <s v="UK"/>
        <s v="Switzerland"/>
        <s v="Singapore"/>
        <s v="Hong Kong"/>
        <s v="Australia"/>
        <s v="China"/>
        <s v="Canada"/>
        <s v="South Korea"/>
        <s v="Japan"/>
        <s v="France"/>
        <s v="Netherlands"/>
        <s v="Germany"/>
        <s v="Brazil"/>
        <s v="South Africa"/>
        <s v="India"/>
        <s v="Saudi Arabia"/>
        <s v="Italy"/>
        <s v="Poland"/>
        <s v="Malaysia"/>
      </sharedItems>
    </cacheField>
    <cacheField name="region" numFmtId="0">
      <sharedItems count="7">
        <s v="North America"/>
        <s v="Europe"/>
        <s v="Asia"/>
        <s v="Oceania"/>
        <s v="Latin America"/>
        <s v="Africa"/>
        <s v="Middle East"/>
      </sharedItems>
    </cacheField>
    <cacheField name="university_type" numFmtId="0">
      <sharedItems count="2">
        <s v="Private"/>
        <s v="Public"/>
      </sharedItems>
    </cacheField>
    <cacheField name="qs_rank_2026" numFmtId="0">
      <sharedItems containsString="0" containsBlank="1" containsNumber="1" containsInteger="1" minValue="10" maxValue="4880" count="49">
        <n v="10"/>
        <n v="20"/>
        <n v="30"/>
        <n v="40"/>
        <n v="50"/>
        <n v="60"/>
        <n v="70"/>
        <n v="80"/>
        <n v="90"/>
        <n v="100"/>
        <n v="130"/>
        <n v="150"/>
        <n v="110"/>
        <n v="120"/>
        <n v="160"/>
        <n v="140"/>
        <n v="190"/>
        <n v="200"/>
        <n v="280"/>
        <n v="240"/>
        <n v="250"/>
        <n v="260"/>
        <n v="290"/>
        <n v="230"/>
        <n v="310"/>
        <n v="350"/>
        <n v="320"/>
        <n v="300"/>
        <n v="270"/>
        <n v="360"/>
        <n v="400"/>
        <m/>
        <n v="560"/>
        <n v="510"/>
        <n v="550"/>
        <n v="830"/>
        <n v="650"/>
        <n v="380"/>
        <n v="370"/>
        <n v="470"/>
        <n v="420"/>
        <n v="540"/>
        <n v="960"/>
        <n v="1500"/>
        <n v="1180"/>
        <n v="670"/>
        <n v="980"/>
        <n v="2840"/>
        <n v="4880"/>
      </sharedItems>
    </cacheField>
    <cacheField name="the_rank_2026" numFmtId="0">
      <sharedItems containsString="0" containsBlank="1" containsNumber="1" containsInteger="1" minValue="10" maxValue="3510"/>
    </cacheField>
    <cacheField name="arwu_rank_2025" numFmtId="0">
      <sharedItems containsString="0" containsBlank="1" containsNumber="1" containsInteger="1" minValue="10" maxValue="810"/>
    </cacheField>
    <cacheField name="qs_score" numFmtId="0">
      <sharedItems containsString="0" containsBlank="1" containsNumber="1" containsInteger="1" minValue="624" maxValue="1000"/>
    </cacheField>
    <cacheField name="the_score" numFmtId="0">
      <sharedItems containsString="0" containsBlank="1" containsNumber="1" containsInteger="1" minValue="464" maxValue="970"/>
    </cacheField>
    <cacheField name="arwu_score" numFmtId="0">
      <sharedItems containsString="0" containsBlank="1" containsNumber="1" containsInteger="1" minValue="334" maxValue="1000"/>
    </cacheField>
    <cacheField name="qs_academic_rep" numFmtId="0">
      <sharedItems containsString="0" containsBlank="1" containsNumber="1" containsInteger="1" minValue="644" maxValue="1000"/>
    </cacheField>
    <cacheField name="qs_employer_rep" numFmtId="0">
      <sharedItems containsString="0" containsBlank="1" containsNumber="1" containsInteger="1" minValue="628" maxValue="1000"/>
    </cacheField>
    <cacheField name="qs_faculty_student" numFmtId="0">
      <sharedItems containsString="0" containsBlank="1" containsNumber="1" containsInteger="1" minValue="634" maxValue="1000"/>
    </cacheField>
    <cacheField name="qs_citations" numFmtId="0">
      <sharedItems containsString="0" containsBlank="1" containsNumber="1" containsInteger="1" minValue="644" maxValue="1000"/>
    </cacheField>
    <cacheField name="qs_intl_faculty" numFmtId="0">
      <sharedItems containsString="0" containsBlank="1" containsNumber="1" containsInteger="1" minValue="544" maxValue="1000"/>
    </cacheField>
    <cacheField name="qs_intl_students" numFmtId="0">
      <sharedItems containsString="0" containsBlank="1" containsNumber="1" containsInteger="1" minValue="524" maxValue="1000"/>
    </cacheField>
    <cacheField name="the_teaching" numFmtId="0">
      <sharedItems containsString="0" containsBlank="1" containsNumber="1" containsInteger="1" minValue="374" maxValue="978"/>
    </cacheField>
    <cacheField name="the_research_env" numFmtId="0">
      <sharedItems containsString="0" containsBlank="1" containsNumber="1" containsInteger="1" minValue="368" maxValue="998"/>
    </cacheField>
    <cacheField name="the_research_quality" numFmtId="0">
      <sharedItems containsString="0" containsBlank="1" containsNumber="1" containsInteger="1" minValue="324" maxValue="994"/>
    </cacheField>
    <cacheField name="the_industry" numFmtId="0">
      <sharedItems containsString="0" containsBlank="1" containsNumber="1" containsInteger="1" minValue="344" maxValue="804" count="35">
        <n v="802"/>
        <n v="804"/>
        <n v="776"/>
        <n v="788"/>
        <n v="792"/>
        <n v="784"/>
        <n v="774"/>
        <n v="724"/>
        <n v="768"/>
        <n v="728"/>
        <n v="748"/>
        <n v="684"/>
        <n v="624"/>
        <n v="704"/>
        <n v="744"/>
        <n v="764"/>
        <n v="634"/>
        <n v="564"/>
        <n v="594"/>
        <n v="654"/>
        <n v="604"/>
        <n v="554"/>
        <n v="688"/>
        <n v="574"/>
        <n v="664"/>
        <n v="494"/>
        <n v="544"/>
        <n v="674"/>
        <n v="524"/>
        <n v="484"/>
        <n v="454"/>
        <n v="344"/>
        <n v="364"/>
        <m/>
        <n v="394"/>
      </sharedItems>
    </cacheField>
    <cacheField name="the_intl_outlook" numFmtId="0">
      <sharedItems containsString="0" containsBlank="1" containsNumber="1" containsInteger="1" minValue="404" maxValue="1000"/>
    </cacheField>
    <cacheField name="founded" numFmtId="0">
      <sharedItems containsSemiMixedTypes="0" containsString="0" containsNumber="1" containsInteger="1" minValue="1096" maxValue="2015"/>
    </cacheField>
    <cacheField name="total_students" numFmtId="0">
      <sharedItems containsSemiMixedTypes="0" containsString="0" containsNumber="1" containsInteger="1" minValue="2240" maxValue="97000"/>
    </cacheField>
    <cacheField name="intl_students_pct" numFmtId="0">
      <sharedItems containsSemiMixedTypes="0" containsString="0" containsNumber="1" containsInteger="1" minValue="3" maxValue="80"/>
    </cacheField>
    <cacheField name="nobel_laureates" numFmtId="0">
      <sharedItems containsSemiMixedTypes="0" containsString="0" containsNumber="1" containsInteger="1" minValue="0" maxValue="162"/>
    </cacheField>
    <cacheField name="fields_medalists" numFmtId="0">
      <sharedItems containsSemiMixedTypes="0" containsString="0" containsNumber="1" containsInteger="1" minValue="0" maxValue="22" count="6">
        <n v="1"/>
        <n v="0"/>
        <n v="22"/>
        <n v="4"/>
        <n v="6"/>
        <n v="3"/>
      </sharedItems>
    </cacheField>
    <cacheField name="ranked_in_all_3" numFmtId="0">
      <sharedItems/>
    </cacheField>
    <cacheField name="avg_rank_all3" numFmtId="0">
      <sharedItems containsSemiMixedTypes="0" containsString="0" containsNumber="1" containsInteger="1" minValue="20" maxValue="4880"/>
    </cacheField>
    <cacheField name="university_age_2026" numFmtId="0">
      <sharedItems containsSemiMixedTypes="0" containsString="0" containsNumber="1" containsInteger="1" minValue="11" maxValue="930" count="50">
        <n v="165"/>
        <n v="119"/>
        <n v="141"/>
        <n v="930"/>
        <n v="390"/>
        <n v="817"/>
        <n v="171"/>
        <n v="121"/>
        <n v="200"/>
        <n v="135"/>
        <n v="136"/>
        <n v="280"/>
        <n v="115"/>
        <n v="35"/>
        <n v="161"/>
        <n v="325"/>
        <n v="272"/>
        <n v="286"/>
        <n v="173"/>
        <n v="128"/>
        <n v="158"/>
        <n v="150"/>
        <n v="176"/>
        <n v="188"/>
        <n v="199"/>
        <n v="209"/>
        <n v="197"/>
        <n v="202"/>
        <n v="205"/>
        <n v="80"/>
        <n v="149"/>
        <n v="443"/>
        <n v="63"/>
        <n v="107"/>
        <n v="77"/>
        <n v="11"/>
        <n v="131"/>
        <n v="129"/>
        <n v="394"/>
        <n v="55"/>
        <n v="126"/>
        <n v="195"/>
        <n v="68"/>
        <n v="184"/>
        <n v="118"/>
        <n v="554"/>
        <n v="92"/>
        <n v="163"/>
        <n v="210"/>
        <n v="39"/>
      </sharedItems>
    </cacheField>
    <cacheField name="data_sources" numFmtId="0">
      <sharedItems/>
    </cacheField>
  </cacheFields>
  <extLst>
    <ext xmlns:x14="http://schemas.microsoft.com/office/spreadsheetml/2009/9/main" uri="{725AE2AE-9491-48be-B2B4-4EB974FC3084}">
      <x14:pivotCacheDefinition pivotCacheId="1636556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x v="0"/>
    <x v="0"/>
    <x v="0"/>
    <x v="0"/>
    <n v="20"/>
    <n v="30"/>
    <n v="1000"/>
    <n v="964"/>
    <n v="1000"/>
    <n v="1000"/>
    <n v="1000"/>
    <n v="1000"/>
    <n v="1000"/>
    <n v="1000"/>
    <n v="984"/>
    <n v="915"/>
    <n v="998"/>
    <n v="972"/>
    <x v="0"/>
    <n v="742"/>
    <n v="1861"/>
    <n v="11858"/>
    <n v="34"/>
    <n v="100"/>
    <x v="0"/>
    <b v="1"/>
    <n v="20"/>
    <x v="0"/>
    <s v="QS Jun-2025 | THE Oct-2025 | ARWU Aug-2025"/>
  </r>
  <r>
    <x v="1"/>
    <x v="1"/>
    <x v="1"/>
    <x v="1"/>
    <x v="1"/>
    <n v="80"/>
    <m/>
    <n v="992"/>
    <n v="861"/>
    <m/>
    <n v="994"/>
    <n v="992"/>
    <n v="1000"/>
    <n v="994"/>
    <n v="1000"/>
    <n v="975"/>
    <n v="834"/>
    <n v="921"/>
    <n v="874"/>
    <x v="1"/>
    <n v="552"/>
    <n v="1907"/>
    <n v="19000"/>
    <n v="61"/>
    <n v="15"/>
    <x v="1"/>
    <b v="0"/>
    <n v="50"/>
    <x v="1"/>
    <s v="QS Jun-2025 | THE Oct-2025 | ARWU Aug-2025"/>
  </r>
  <r>
    <x v="2"/>
    <x v="0"/>
    <x v="0"/>
    <x v="0"/>
    <x v="2"/>
    <n v="50"/>
    <n v="20"/>
    <n v="991"/>
    <n v="955"/>
    <n v="765"/>
    <n v="992"/>
    <n v="996"/>
    <n v="1000"/>
    <n v="998"/>
    <n v="984"/>
    <n v="992"/>
    <n v="952"/>
    <n v="996"/>
    <n v="994"/>
    <x v="2"/>
    <n v="884"/>
    <n v="1885"/>
    <n v="17249"/>
    <n v="24"/>
    <n v="85"/>
    <x v="2"/>
    <b v="1"/>
    <n v="33"/>
    <x v="2"/>
    <s v="QS Jun-2025 | THE Oct-2025 | ARWU Aug-2025"/>
  </r>
  <r>
    <x v="3"/>
    <x v="1"/>
    <x v="1"/>
    <x v="1"/>
    <x v="3"/>
    <n v="10"/>
    <n v="60"/>
    <n v="989"/>
    <n v="970"/>
    <n v="724"/>
    <n v="996"/>
    <n v="998"/>
    <n v="1000"/>
    <n v="962"/>
    <n v="1000"/>
    <n v="984"/>
    <n v="978"/>
    <n v="984"/>
    <n v="958"/>
    <x v="3"/>
    <n v="664"/>
    <n v="1096"/>
    <n v="24000"/>
    <n v="41"/>
    <n v="72"/>
    <x v="1"/>
    <b v="1"/>
    <n v="37"/>
    <x v="3"/>
    <s v="QS Jun-2025 | THE Oct-2025 | ARWU Aug-2025"/>
  </r>
  <r>
    <x v="4"/>
    <x v="0"/>
    <x v="0"/>
    <x v="0"/>
    <x v="4"/>
    <n v="50"/>
    <n v="10"/>
    <n v="988"/>
    <n v="955"/>
    <n v="1000"/>
    <n v="998"/>
    <n v="998"/>
    <n v="1000"/>
    <n v="976"/>
    <n v="882"/>
    <n v="992"/>
    <n v="954"/>
    <n v="992"/>
    <n v="974"/>
    <x v="4"/>
    <n v="774"/>
    <n v="1636"/>
    <n v="21000"/>
    <n v="25"/>
    <n v="162"/>
    <x v="3"/>
    <b v="1"/>
    <n v="37"/>
    <x v="4"/>
    <s v="QS Jun-2025 | THE Oct-2025 | ARWU Aug-2025"/>
  </r>
  <r>
    <x v="5"/>
    <x v="1"/>
    <x v="1"/>
    <x v="1"/>
    <x v="5"/>
    <n v="30"/>
    <n v="40"/>
    <n v="984"/>
    <n v="962"/>
    <n v="832"/>
    <n v="994"/>
    <n v="996"/>
    <n v="1000"/>
    <n v="958"/>
    <n v="1000"/>
    <n v="992"/>
    <n v="964"/>
    <n v="988"/>
    <n v="962"/>
    <x v="5"/>
    <n v="684"/>
    <n v="1209"/>
    <n v="24500"/>
    <n v="38"/>
    <n v="121"/>
    <x v="0"/>
    <b v="1"/>
    <n v="43"/>
    <x v="5"/>
    <s v="QS Jun-2025 | THE Oct-2025 | ARWU Aug-2025"/>
  </r>
  <r>
    <x v="6"/>
    <x v="2"/>
    <x v="1"/>
    <x v="1"/>
    <x v="6"/>
    <n v="70"/>
    <n v="220"/>
    <n v="978"/>
    <n v="874"/>
    <n v="558"/>
    <n v="974"/>
    <n v="968"/>
    <n v="1000"/>
    <n v="972"/>
    <n v="1000"/>
    <n v="1000"/>
    <n v="854"/>
    <n v="884"/>
    <n v="852"/>
    <x v="6"/>
    <n v="998"/>
    <n v="1855"/>
    <n v="24500"/>
    <n v="41"/>
    <n v="32"/>
    <x v="0"/>
    <b v="1"/>
    <n v="120"/>
    <x v="6"/>
    <s v="QS Jun-2025 | THE Oct-2025 | ARWU Aug-2025"/>
  </r>
  <r>
    <x v="7"/>
    <x v="3"/>
    <x v="2"/>
    <x v="1"/>
    <x v="7"/>
    <n v="170"/>
    <m/>
    <n v="972"/>
    <n v="846"/>
    <m/>
    <n v="968"/>
    <n v="994"/>
    <n v="984"/>
    <n v="994"/>
    <n v="1000"/>
    <n v="1000"/>
    <n v="808"/>
    <n v="854"/>
    <n v="802"/>
    <x v="7"/>
    <n v="1000"/>
    <n v="1905"/>
    <n v="40000"/>
    <n v="36"/>
    <n v="3"/>
    <x v="1"/>
    <b v="0"/>
    <n v="125"/>
    <x v="7"/>
    <s v="QS Jun-2025 | THE Oct-2025 | ARWU Aug-2025"/>
  </r>
  <r>
    <x v="8"/>
    <x v="1"/>
    <x v="1"/>
    <x v="1"/>
    <x v="8"/>
    <n v="90"/>
    <m/>
    <n v="970"/>
    <n v="860"/>
    <m/>
    <n v="978"/>
    <n v="984"/>
    <n v="1000"/>
    <n v="968"/>
    <n v="1000"/>
    <n v="1000"/>
    <n v="854"/>
    <n v="888"/>
    <n v="804"/>
    <x v="8"/>
    <n v="724"/>
    <n v="1826"/>
    <n v="39000"/>
    <n v="56"/>
    <n v="14"/>
    <x v="1"/>
    <b v="0"/>
    <n v="90"/>
    <x v="8"/>
    <s v="QS Jun-2025 | THE Oct-2025 | ARWU Aug-2025"/>
  </r>
  <r>
    <x v="9"/>
    <x v="0"/>
    <x v="0"/>
    <x v="0"/>
    <x v="9"/>
    <n v="70"/>
    <n v="90"/>
    <n v="968"/>
    <n v="874"/>
    <n v="658"/>
    <n v="964"/>
    <n v="962"/>
    <n v="1000"/>
    <n v="1000"/>
    <n v="884"/>
    <n v="912"/>
    <n v="854"/>
    <n v="992"/>
    <n v="974"/>
    <x v="7"/>
    <n v="600"/>
    <n v="1891"/>
    <n v="2240"/>
    <n v="32"/>
    <n v="46"/>
    <x v="4"/>
    <b v="1"/>
    <n v="87"/>
    <x v="9"/>
    <s v="QS Jun-2025 | THE Oct-2025 | ARWU Aug-2025"/>
  </r>
  <r>
    <x v="10"/>
    <x v="0"/>
    <x v="0"/>
    <x v="0"/>
    <x v="10"/>
    <n v="150"/>
    <n v="100"/>
    <n v="962"/>
    <n v="838"/>
    <n v="642"/>
    <n v="972"/>
    <n v="984"/>
    <n v="984"/>
    <n v="984"/>
    <n v="862"/>
    <n v="784"/>
    <n v="824"/>
    <n v="972"/>
    <n v="958"/>
    <x v="9"/>
    <n v="602"/>
    <n v="1890"/>
    <n v="17002"/>
    <n v="30"/>
    <n v="100"/>
    <x v="0"/>
    <b v="1"/>
    <n v="127"/>
    <x v="10"/>
    <s v="QS Jun-2025 | THE Oct-2025 | ARWU Aug-2025"/>
  </r>
  <r>
    <x v="11"/>
    <x v="0"/>
    <x v="0"/>
    <x v="0"/>
    <x v="11"/>
    <n v="30"/>
    <n v="70"/>
    <n v="948"/>
    <n v="962"/>
    <n v="708"/>
    <n v="974"/>
    <n v="978"/>
    <n v="1000"/>
    <n v="962"/>
    <n v="804"/>
    <n v="684"/>
    <n v="924"/>
    <n v="992"/>
    <n v="978"/>
    <x v="10"/>
    <n v="644"/>
    <n v="1746"/>
    <n v="8374"/>
    <n v="25"/>
    <n v="64"/>
    <x v="0"/>
    <b v="1"/>
    <n v="83"/>
    <x v="11"/>
    <s v="QS Jun-2025 | THE Oct-2025 | ARWU Aug-2025"/>
  </r>
  <r>
    <x v="12"/>
    <x v="4"/>
    <x v="2"/>
    <x v="1"/>
    <x v="12"/>
    <n v="350"/>
    <m/>
    <n v="962"/>
    <n v="768"/>
    <m/>
    <n v="958"/>
    <n v="974"/>
    <n v="974"/>
    <n v="968"/>
    <n v="1000"/>
    <n v="1000"/>
    <n v="724"/>
    <n v="728"/>
    <n v="654"/>
    <x v="11"/>
    <n v="922"/>
    <n v="1911"/>
    <n v="30000"/>
    <n v="34"/>
    <n v="0"/>
    <x v="1"/>
    <b v="0"/>
    <n v="230"/>
    <x v="12"/>
    <s v="QS Jun-2025 | THE Oct-2025 | ARWU Aug-2025"/>
  </r>
  <r>
    <x v="13"/>
    <x v="3"/>
    <x v="2"/>
    <x v="1"/>
    <x v="13"/>
    <n v="460"/>
    <m/>
    <n v="954"/>
    <n v="712"/>
    <m/>
    <n v="952"/>
    <n v="968"/>
    <n v="968"/>
    <n v="968"/>
    <n v="1000"/>
    <n v="1000"/>
    <n v="664"/>
    <n v="642"/>
    <n v="608"/>
    <x v="12"/>
    <n v="968"/>
    <n v="1991"/>
    <n v="33000"/>
    <n v="34"/>
    <n v="0"/>
    <x v="1"/>
    <b v="0"/>
    <n v="290"/>
    <x v="13"/>
    <s v="QS Jun-2025 | THE Oct-2025 | ARWU Aug-2025"/>
  </r>
  <r>
    <x v="14"/>
    <x v="0"/>
    <x v="0"/>
    <x v="0"/>
    <x v="10"/>
    <n v="180"/>
    <m/>
    <n v="952"/>
    <n v="832"/>
    <m/>
    <n v="972"/>
    <n v="992"/>
    <n v="978"/>
    <n v="948"/>
    <n v="858"/>
    <n v="842"/>
    <n v="808"/>
    <n v="884"/>
    <n v="864"/>
    <x v="13"/>
    <n v="608"/>
    <n v="1865"/>
    <n v="24000"/>
    <n v="27"/>
    <n v="45"/>
    <x v="1"/>
    <b v="0"/>
    <n v="155"/>
    <x v="14"/>
    <s v="QS Jun-2025 | THE Oct-2025 | ARWU Aug-2025"/>
  </r>
  <r>
    <x v="15"/>
    <x v="0"/>
    <x v="0"/>
    <x v="0"/>
    <x v="14"/>
    <n v="90"/>
    <n v="140"/>
    <n v="944"/>
    <n v="860"/>
    <n v="608"/>
    <n v="976"/>
    <n v="984"/>
    <n v="1000"/>
    <n v="924"/>
    <n v="804"/>
    <n v="748"/>
    <n v="834"/>
    <n v="958"/>
    <n v="962"/>
    <x v="14"/>
    <n v="642"/>
    <n v="1701"/>
    <n v="14500"/>
    <n v="21"/>
    <n v="65"/>
    <x v="0"/>
    <b v="1"/>
    <n v="130"/>
    <x v="15"/>
    <s v="QS Jun-2025 | THE Oct-2025 | ARWU Aug-2025"/>
  </r>
  <r>
    <x v="16"/>
    <x v="0"/>
    <x v="0"/>
    <x v="0"/>
    <x v="15"/>
    <n v="200"/>
    <n v="80"/>
    <n v="950"/>
    <n v="818"/>
    <n v="668"/>
    <n v="972"/>
    <n v="988"/>
    <n v="974"/>
    <n v="958"/>
    <n v="884"/>
    <n v="884"/>
    <n v="784"/>
    <n v="904"/>
    <n v="902"/>
    <x v="7"/>
    <n v="724"/>
    <n v="1754"/>
    <n v="31000"/>
    <n v="47"/>
    <n v="101"/>
    <x v="1"/>
    <b v="1"/>
    <n v="140"/>
    <x v="16"/>
    <s v="QS Jun-2025 | THE Oct-2025 | ARWU Aug-2025"/>
  </r>
  <r>
    <x v="17"/>
    <x v="0"/>
    <x v="0"/>
    <x v="0"/>
    <x v="13"/>
    <n v="140"/>
    <m/>
    <n v="958"/>
    <n v="842"/>
    <m/>
    <n v="968"/>
    <n v="992"/>
    <n v="974"/>
    <n v="958"/>
    <n v="868"/>
    <n v="882"/>
    <n v="822"/>
    <n v="924"/>
    <n v="884"/>
    <x v="7"/>
    <n v="604"/>
    <n v="1740"/>
    <n v="22000"/>
    <n v="21"/>
    <n v="8"/>
    <x v="1"/>
    <b v="0"/>
    <n v="130"/>
    <x v="17"/>
    <s v="QS Jun-2025 | THE Oct-2025 | ARWU Aug-2025"/>
  </r>
  <r>
    <x v="18"/>
    <x v="5"/>
    <x v="3"/>
    <x v="1"/>
    <x v="16"/>
    <n v="160"/>
    <n v="330"/>
    <n v="938"/>
    <n v="834"/>
    <n v="488"/>
    <n v="954"/>
    <n v="968"/>
    <n v="968"/>
    <n v="958"/>
    <n v="992"/>
    <n v="1000"/>
    <n v="808"/>
    <n v="842"/>
    <n v="794"/>
    <x v="13"/>
    <n v="688"/>
    <n v="1853"/>
    <n v="52000"/>
    <n v="44"/>
    <n v="8"/>
    <x v="1"/>
    <b v="1"/>
    <n v="227"/>
    <x v="18"/>
    <s v="QS Jun-2025 | THE Oct-2025 | ARWU Aug-2025"/>
  </r>
  <r>
    <x v="19"/>
    <x v="6"/>
    <x v="2"/>
    <x v="1"/>
    <x v="15"/>
    <n v="130"/>
    <m/>
    <n v="950"/>
    <n v="852"/>
    <m/>
    <n v="968"/>
    <n v="948"/>
    <n v="944"/>
    <n v="958"/>
    <n v="864"/>
    <n v="824"/>
    <n v="844"/>
    <n v="904"/>
    <n v="864"/>
    <x v="15"/>
    <n v="624"/>
    <n v="1898"/>
    <n v="47000"/>
    <n v="12"/>
    <n v="6"/>
    <x v="1"/>
    <b v="0"/>
    <n v="135"/>
    <x v="19"/>
    <s v="QS Jun-2025 | THE Oct-2025 | ARWU Aug-2025"/>
  </r>
  <r>
    <x v="20"/>
    <x v="6"/>
    <x v="2"/>
    <x v="1"/>
    <x v="17"/>
    <n v="120"/>
    <m/>
    <n v="934"/>
    <n v="862"/>
    <m/>
    <n v="962"/>
    <n v="974"/>
    <n v="968"/>
    <n v="968"/>
    <n v="824"/>
    <n v="744"/>
    <n v="854"/>
    <n v="894"/>
    <n v="844"/>
    <x v="5"/>
    <n v="628"/>
    <n v="1911"/>
    <n v="53000"/>
    <n v="10"/>
    <n v="8"/>
    <x v="1"/>
    <b v="0"/>
    <n v="160"/>
    <x v="12"/>
    <s v="QS Jun-2025 | THE Oct-2025 | ARWU Aug-2025"/>
  </r>
  <r>
    <x v="21"/>
    <x v="0"/>
    <x v="0"/>
    <x v="1"/>
    <x v="18"/>
    <n v="90"/>
    <n v="50"/>
    <n v="912"/>
    <n v="860"/>
    <n v="752"/>
    <n v="958"/>
    <n v="984"/>
    <n v="974"/>
    <n v="932"/>
    <n v="824"/>
    <n v="884"/>
    <n v="834"/>
    <n v="972"/>
    <n v="974"/>
    <x v="7"/>
    <n v="724"/>
    <n v="1868"/>
    <n v="43000"/>
    <n v="14"/>
    <n v="107"/>
    <x v="1"/>
    <b v="1"/>
    <n v="140"/>
    <x v="20"/>
    <s v="QS Jun-2025 | THE Oct-2025 | ARWU Aug-2025"/>
  </r>
  <r>
    <x v="22"/>
    <x v="0"/>
    <x v="0"/>
    <x v="0"/>
    <x v="19"/>
    <n v="210"/>
    <m/>
    <n v="922"/>
    <n v="808"/>
    <m/>
    <n v="948"/>
    <n v="984"/>
    <n v="974"/>
    <n v="938"/>
    <n v="858"/>
    <n v="824"/>
    <n v="804"/>
    <n v="884"/>
    <n v="878"/>
    <x v="7"/>
    <n v="658"/>
    <n v="1876"/>
    <n v="26000"/>
    <n v="28"/>
    <n v="38"/>
    <x v="1"/>
    <b v="0"/>
    <n v="225"/>
    <x v="21"/>
    <s v="QS Jun-2025 | THE Oct-2025 | ARWU Aug-2025"/>
  </r>
  <r>
    <x v="23"/>
    <x v="5"/>
    <x v="3"/>
    <x v="1"/>
    <x v="20"/>
    <n v="430"/>
    <m/>
    <n v="920"/>
    <n v="716"/>
    <m/>
    <n v="952"/>
    <n v="958"/>
    <n v="964"/>
    <n v="948"/>
    <n v="1000"/>
    <n v="1000"/>
    <n v="684"/>
    <n v="678"/>
    <n v="614"/>
    <x v="16"/>
    <n v="708"/>
    <n v="1850"/>
    <n v="73000"/>
    <n v="45"/>
    <n v="5"/>
    <x v="1"/>
    <b v="0"/>
    <n v="340"/>
    <x v="22"/>
    <s v="QS Jun-2025 | THE Oct-2025 | ARWU Aug-2025"/>
  </r>
  <r>
    <x v="24"/>
    <x v="0"/>
    <x v="0"/>
    <x v="0"/>
    <x v="21"/>
    <n v="220"/>
    <m/>
    <n v="918"/>
    <n v="804"/>
    <m/>
    <n v="952"/>
    <n v="978"/>
    <n v="974"/>
    <n v="928"/>
    <n v="824"/>
    <n v="784"/>
    <n v="788"/>
    <n v="884"/>
    <n v="868"/>
    <x v="13"/>
    <n v="624"/>
    <n v="1838"/>
    <n v="17000"/>
    <n v="27"/>
    <n v="13"/>
    <x v="1"/>
    <b v="0"/>
    <n v="240"/>
    <x v="23"/>
    <s v="QS Jun-2025 | THE Oct-2025 | ARWU Aug-2025"/>
  </r>
  <r>
    <x v="25"/>
    <x v="7"/>
    <x v="0"/>
    <x v="1"/>
    <x v="22"/>
    <n v="220"/>
    <n v="240"/>
    <n v="910"/>
    <n v="804"/>
    <n v="538"/>
    <n v="954"/>
    <n v="978"/>
    <n v="954"/>
    <n v="932"/>
    <n v="904"/>
    <n v="884"/>
    <n v="794"/>
    <n v="878"/>
    <n v="854"/>
    <x v="13"/>
    <n v="744"/>
    <n v="1827"/>
    <n v="97000"/>
    <n v="27"/>
    <n v="10"/>
    <x v="1"/>
    <b v="1"/>
    <n v="250"/>
    <x v="24"/>
    <s v="QS Jun-2025 | THE Oct-2025 | ARWU Aug-2025"/>
  </r>
  <r>
    <x v="26"/>
    <x v="0"/>
    <x v="0"/>
    <x v="1"/>
    <x v="23"/>
    <n v="220"/>
    <n v="210"/>
    <n v="924"/>
    <n v="804"/>
    <n v="564"/>
    <n v="958"/>
    <n v="972"/>
    <n v="964"/>
    <n v="938"/>
    <n v="838"/>
    <n v="824"/>
    <n v="788"/>
    <n v="868"/>
    <n v="872"/>
    <x v="11"/>
    <n v="644"/>
    <n v="1817"/>
    <n v="47000"/>
    <n v="17"/>
    <n v="26"/>
    <x v="0"/>
    <b v="1"/>
    <n v="220"/>
    <x v="25"/>
    <s v="QS Jun-2025 | THE Oct-2025 | ARWU Aug-2025"/>
  </r>
  <r>
    <x v="27"/>
    <x v="1"/>
    <x v="1"/>
    <x v="1"/>
    <x v="24"/>
    <n v="440"/>
    <m/>
    <n v="906"/>
    <n v="714"/>
    <m/>
    <n v="934"/>
    <n v="954"/>
    <n v="964"/>
    <n v="908"/>
    <n v="1000"/>
    <n v="1000"/>
    <n v="678"/>
    <n v="664"/>
    <n v="614"/>
    <x v="16"/>
    <n v="738"/>
    <n v="1829"/>
    <n v="33000"/>
    <n v="50"/>
    <n v="12"/>
    <x v="1"/>
    <b v="0"/>
    <n v="375"/>
    <x v="26"/>
    <s v="QS Jun-2025 | THE Oct-2025 | ARWU Aug-2025"/>
  </r>
  <r>
    <x v="28"/>
    <x v="1"/>
    <x v="1"/>
    <x v="1"/>
    <x v="25"/>
    <n v="630"/>
    <m/>
    <n v="896"/>
    <n v="684"/>
    <m/>
    <n v="932"/>
    <n v="938"/>
    <n v="928"/>
    <n v="884"/>
    <n v="1000"/>
    <n v="984"/>
    <n v="614"/>
    <n v="608"/>
    <n v="554"/>
    <x v="17"/>
    <n v="728"/>
    <n v="1824"/>
    <n v="40000"/>
    <n v="44"/>
    <n v="25"/>
    <x v="1"/>
    <b v="0"/>
    <n v="490"/>
    <x v="27"/>
    <s v="QS Jun-2025 | THE Oct-2025 | ARWU Aug-2025"/>
  </r>
  <r>
    <x v="29"/>
    <x v="7"/>
    <x v="0"/>
    <x v="1"/>
    <x v="26"/>
    <n v="440"/>
    <m/>
    <n v="904"/>
    <n v="714"/>
    <m/>
    <n v="942"/>
    <n v="958"/>
    <n v="958"/>
    <n v="908"/>
    <n v="968"/>
    <n v="924"/>
    <n v="684"/>
    <n v="674"/>
    <n v="624"/>
    <x v="12"/>
    <n v="718"/>
    <n v="1821"/>
    <n v="40000"/>
    <n v="27"/>
    <n v="14"/>
    <x v="1"/>
    <b v="0"/>
    <n v="380"/>
    <x v="28"/>
    <s v="QS Jun-2025 | THE Oct-2025 | ARWU Aug-2025"/>
  </r>
  <r>
    <x v="30"/>
    <x v="8"/>
    <x v="2"/>
    <x v="1"/>
    <x v="24"/>
    <n v="620"/>
    <m/>
    <n v="906"/>
    <n v="686"/>
    <m/>
    <n v="928"/>
    <n v="948"/>
    <n v="954"/>
    <n v="924"/>
    <n v="842"/>
    <n v="804"/>
    <n v="624"/>
    <n v="618"/>
    <n v="564"/>
    <x v="18"/>
    <n v="608"/>
    <n v="1946"/>
    <n v="28000"/>
    <n v="4"/>
    <n v="0"/>
    <x v="1"/>
    <b v="0"/>
    <n v="465"/>
    <x v="29"/>
    <s v="QS Jun-2025 | THE Oct-2025 | ARWU Aug-2025"/>
  </r>
  <r>
    <x v="31"/>
    <x v="6"/>
    <x v="2"/>
    <x v="1"/>
    <x v="27"/>
    <n v="440"/>
    <m/>
    <n v="908"/>
    <n v="714"/>
    <m/>
    <n v="924"/>
    <n v="938"/>
    <n v="934"/>
    <n v="934"/>
    <n v="828"/>
    <n v="764"/>
    <n v="684"/>
    <n v="688"/>
    <n v="634"/>
    <x v="19"/>
    <n v="618"/>
    <n v="1905"/>
    <n v="45000"/>
    <n v="10"/>
    <n v="0"/>
    <x v="1"/>
    <b v="0"/>
    <n v="370"/>
    <x v="7"/>
    <s v="QS Jun-2025 | THE Oct-2025 | ARWU Aug-2025"/>
  </r>
  <r>
    <x v="32"/>
    <x v="9"/>
    <x v="2"/>
    <x v="1"/>
    <x v="18"/>
    <n v="260"/>
    <m/>
    <n v="912"/>
    <n v="798"/>
    <m/>
    <n v="944"/>
    <n v="904"/>
    <n v="898"/>
    <n v="944"/>
    <n v="788"/>
    <n v="724"/>
    <n v="794"/>
    <n v="838"/>
    <n v="824"/>
    <x v="7"/>
    <n v="604"/>
    <n v="1877"/>
    <n v="28000"/>
    <n v="12"/>
    <n v="11"/>
    <x v="5"/>
    <b v="0"/>
    <n v="270"/>
    <x v="30"/>
    <s v="QS Jun-2025 | THE Oct-2025 | ARWU Aug-2025"/>
  </r>
  <r>
    <x v="33"/>
    <x v="1"/>
    <x v="1"/>
    <x v="1"/>
    <x v="28"/>
    <n v="300"/>
    <m/>
    <n v="914"/>
    <n v="784"/>
    <m/>
    <n v="942"/>
    <n v="948"/>
    <n v="948"/>
    <n v="918"/>
    <n v="1000"/>
    <n v="984"/>
    <n v="724"/>
    <n v="742"/>
    <n v="664"/>
    <x v="12"/>
    <n v="748"/>
    <n v="1583"/>
    <n v="38000"/>
    <n v="44"/>
    <n v="20"/>
    <x v="1"/>
    <b v="0"/>
    <n v="285"/>
    <x v="31"/>
    <s v="QS Jun-2025 | THE Oct-2025 | ARWU Aug-2025"/>
  </r>
  <r>
    <x v="34"/>
    <x v="4"/>
    <x v="2"/>
    <x v="1"/>
    <x v="29"/>
    <n v="470"/>
    <m/>
    <n v="894"/>
    <n v="708"/>
    <m/>
    <n v="914"/>
    <n v="934"/>
    <n v="938"/>
    <n v="914"/>
    <n v="1000"/>
    <n v="1000"/>
    <n v="664"/>
    <n v="652"/>
    <n v="594"/>
    <x v="20"/>
    <n v="904"/>
    <n v="1963"/>
    <n v="20000"/>
    <n v="38"/>
    <n v="0"/>
    <x v="1"/>
    <b v="0"/>
    <n v="415"/>
    <x v="32"/>
    <s v="QS Jun-2025 | THE Oct-2025 | ARWU Aug-2025"/>
  </r>
  <r>
    <x v="35"/>
    <x v="0"/>
    <x v="0"/>
    <x v="1"/>
    <x v="30"/>
    <n v="220"/>
    <m/>
    <n v="886"/>
    <n v="804"/>
    <m/>
    <n v="934"/>
    <n v="972"/>
    <n v="958"/>
    <n v="918"/>
    <n v="798"/>
    <n v="764"/>
    <n v="794"/>
    <n v="848"/>
    <n v="854"/>
    <x v="11"/>
    <n v="628"/>
    <n v="1919"/>
    <n v="46000"/>
    <n v="14"/>
    <n v="17"/>
    <x v="1"/>
    <b v="0"/>
    <n v="310"/>
    <x v="33"/>
    <s v="QS Jun-2025 | THE Oct-2025 | ARWU Aug-2025"/>
  </r>
  <r>
    <x v="36"/>
    <x v="5"/>
    <x v="3"/>
    <x v="1"/>
    <x v="16"/>
    <n v="670"/>
    <m/>
    <n v="938"/>
    <n v="674"/>
    <m/>
    <n v="934"/>
    <n v="958"/>
    <n v="954"/>
    <n v="934"/>
    <n v="1000"/>
    <n v="1000"/>
    <n v="614"/>
    <n v="598"/>
    <n v="544"/>
    <x v="21"/>
    <n v="718"/>
    <n v="1949"/>
    <n v="65000"/>
    <n v="46"/>
    <n v="4"/>
    <x v="1"/>
    <b v="0"/>
    <n v="430"/>
    <x v="34"/>
    <s v="QS Jun-2025 | THE Oct-2025 | ARWU Aug-2025"/>
  </r>
  <r>
    <x v="37"/>
    <x v="10"/>
    <x v="1"/>
    <x v="1"/>
    <x v="31"/>
    <n v="170"/>
    <n v="130"/>
    <m/>
    <n v="834"/>
    <n v="622"/>
    <m/>
    <m/>
    <m/>
    <m/>
    <m/>
    <m/>
    <n v="798"/>
    <n v="858"/>
    <n v="864"/>
    <x v="22"/>
    <n v="564"/>
    <n v="2015"/>
    <n v="48000"/>
    <n v="20"/>
    <n v="22"/>
    <x v="3"/>
    <b v="0"/>
    <n v="150"/>
    <x v="35"/>
    <s v="QS Jun-2025 | THE Oct-2025 | ARWU Aug-2025"/>
  </r>
  <r>
    <x v="38"/>
    <x v="1"/>
    <x v="1"/>
    <x v="1"/>
    <x v="32"/>
    <n v="520"/>
    <m/>
    <n v="864"/>
    <n v="702"/>
    <m/>
    <n v="934"/>
    <n v="978"/>
    <n v="974"/>
    <n v="854"/>
    <n v="1000"/>
    <n v="1000"/>
    <n v="674"/>
    <n v="618"/>
    <n v="554"/>
    <x v="23"/>
    <n v="758"/>
    <n v="1895"/>
    <n v="12000"/>
    <n v="72"/>
    <n v="18"/>
    <x v="1"/>
    <b v="0"/>
    <n v="540"/>
    <x v="36"/>
    <s v="QS Jun-2025 | THE Oct-2025 | ARWU Aug-2025"/>
  </r>
  <r>
    <x v="39"/>
    <x v="9"/>
    <x v="2"/>
    <x v="1"/>
    <x v="33"/>
    <n v="380"/>
    <m/>
    <n v="872"/>
    <n v="748"/>
    <m/>
    <n v="904"/>
    <n v="854"/>
    <n v="838"/>
    <n v="914"/>
    <n v="754"/>
    <n v="684"/>
    <n v="734"/>
    <n v="778"/>
    <n v="764"/>
    <x v="24"/>
    <n v="594"/>
    <n v="1897"/>
    <n v="23000"/>
    <n v="13"/>
    <n v="11"/>
    <x v="5"/>
    <b v="0"/>
    <n v="445"/>
    <x v="37"/>
    <s v="QS Jun-2025 | THE Oct-2025 | ARWU Aug-2025"/>
  </r>
  <r>
    <x v="40"/>
    <x v="11"/>
    <x v="1"/>
    <x v="1"/>
    <x v="34"/>
    <n v="610"/>
    <m/>
    <n v="866"/>
    <n v="688"/>
    <m/>
    <n v="908"/>
    <n v="914"/>
    <n v="912"/>
    <n v="888"/>
    <n v="1000"/>
    <n v="1000"/>
    <n v="644"/>
    <n v="638"/>
    <n v="584"/>
    <x v="20"/>
    <n v="844"/>
    <n v="1632"/>
    <n v="39000"/>
    <n v="31"/>
    <n v="16"/>
    <x v="1"/>
    <b v="0"/>
    <n v="580"/>
    <x v="38"/>
    <s v="QS Jun-2025 | THE Oct-2025 | ARWU Aug-2025"/>
  </r>
  <r>
    <x v="41"/>
    <x v="8"/>
    <x v="2"/>
    <x v="1"/>
    <x v="35"/>
    <n v="1340"/>
    <m/>
    <n v="844"/>
    <n v="604"/>
    <m/>
    <n v="884"/>
    <n v="904"/>
    <n v="908"/>
    <n v="884"/>
    <n v="804"/>
    <n v="744"/>
    <n v="534"/>
    <n v="508"/>
    <n v="474"/>
    <x v="25"/>
    <n v="684"/>
    <n v="1971"/>
    <n v="22000"/>
    <n v="15"/>
    <n v="0"/>
    <x v="1"/>
    <b v="0"/>
    <n v="1085"/>
    <x v="39"/>
    <s v="QS Jun-2025 | THE Oct-2025 | ARWU Aug-2025"/>
  </r>
  <r>
    <x v="42"/>
    <x v="5"/>
    <x v="3"/>
    <x v="1"/>
    <x v="27"/>
    <n v="780"/>
    <m/>
    <n v="908"/>
    <n v="664"/>
    <m/>
    <n v="932"/>
    <n v="938"/>
    <n v="938"/>
    <n v="914"/>
    <n v="1000"/>
    <n v="1000"/>
    <n v="594"/>
    <n v="578"/>
    <n v="524"/>
    <x v="26"/>
    <n v="724"/>
    <n v="1946"/>
    <n v="24000"/>
    <n v="40"/>
    <n v="6"/>
    <x v="1"/>
    <b v="0"/>
    <n v="540"/>
    <x v="29"/>
    <s v="QS Jun-2025 | THE Oct-2025 | ARWU Aug-2025"/>
  </r>
  <r>
    <x v="43"/>
    <x v="0"/>
    <x v="0"/>
    <x v="0"/>
    <x v="36"/>
    <n v="270"/>
    <m/>
    <n v="858"/>
    <n v="794"/>
    <m/>
    <n v="934"/>
    <n v="984"/>
    <n v="968"/>
    <n v="924"/>
    <n v="784"/>
    <n v="724"/>
    <n v="804"/>
    <n v="824"/>
    <n v="868"/>
    <x v="27"/>
    <n v="624"/>
    <n v="1900"/>
    <n v="15818"/>
    <n v="50"/>
    <n v="21"/>
    <x v="0"/>
    <b v="0"/>
    <n v="460"/>
    <x v="40"/>
    <s v="QS Jun-2025 | THE Oct-2025 | ARWU Aug-2025"/>
  </r>
  <r>
    <x v="44"/>
    <x v="0"/>
    <x v="0"/>
    <x v="0"/>
    <x v="37"/>
    <n v="270"/>
    <m/>
    <n v="892"/>
    <n v="794"/>
    <m/>
    <n v="938"/>
    <n v="984"/>
    <n v="968"/>
    <n v="904"/>
    <n v="924"/>
    <n v="984"/>
    <n v="784"/>
    <n v="824"/>
    <n v="844"/>
    <x v="11"/>
    <n v="784"/>
    <n v="1831"/>
    <n v="27000"/>
    <n v="47"/>
    <n v="12"/>
    <x v="1"/>
    <b v="0"/>
    <n v="325"/>
    <x v="41"/>
    <s v="QS Jun-2025 | THE Oct-2025 | ARWU Aug-2025"/>
  </r>
  <r>
    <x v="45"/>
    <x v="5"/>
    <x v="3"/>
    <x v="1"/>
    <x v="38"/>
    <n v="880"/>
    <m/>
    <n v="894"/>
    <n v="642"/>
    <m/>
    <n v="924"/>
    <n v="938"/>
    <n v="934"/>
    <n v="912"/>
    <n v="1000"/>
    <n v="1000"/>
    <n v="574"/>
    <n v="558"/>
    <n v="504"/>
    <x v="28"/>
    <n v="714"/>
    <n v="1958"/>
    <n v="86000"/>
    <n v="50"/>
    <n v="0"/>
    <x v="1"/>
    <b v="0"/>
    <n v="625"/>
    <x v="42"/>
    <s v="QS Jun-2025 | THE Oct-2025 | ARWU Aug-2025"/>
  </r>
  <r>
    <x v="46"/>
    <x v="11"/>
    <x v="1"/>
    <x v="1"/>
    <x v="39"/>
    <n v="510"/>
    <m/>
    <n v="880"/>
    <n v="704"/>
    <m/>
    <n v="904"/>
    <n v="908"/>
    <n v="904"/>
    <n v="904"/>
    <n v="1000"/>
    <n v="1000"/>
    <n v="664"/>
    <n v="652"/>
    <n v="604"/>
    <x v="12"/>
    <n v="844"/>
    <n v="1842"/>
    <n v="26000"/>
    <n v="38"/>
    <n v="0"/>
    <x v="1"/>
    <b v="0"/>
    <n v="490"/>
    <x v="43"/>
    <s v="QS Jun-2025 | THE Oct-2025 | ARWU Aug-2025"/>
  </r>
  <r>
    <x v="47"/>
    <x v="7"/>
    <x v="0"/>
    <x v="1"/>
    <x v="40"/>
    <n v="410"/>
    <m/>
    <n v="884"/>
    <n v="734"/>
    <m/>
    <n v="934"/>
    <n v="958"/>
    <n v="954"/>
    <n v="912"/>
    <n v="964"/>
    <n v="924"/>
    <n v="704"/>
    <n v="708"/>
    <n v="644"/>
    <x v="24"/>
    <n v="738"/>
    <n v="1908"/>
    <n v="68000"/>
    <n v="30"/>
    <n v="7"/>
    <x v="1"/>
    <b v="0"/>
    <n v="415"/>
    <x v="44"/>
    <s v="QS Jun-2025 | THE Oct-2025 | ARWU Aug-2025"/>
  </r>
  <r>
    <x v="48"/>
    <x v="12"/>
    <x v="1"/>
    <x v="1"/>
    <x v="38"/>
    <n v="340"/>
    <n v="450"/>
    <n v="892"/>
    <n v="764"/>
    <n v="448"/>
    <n v="914"/>
    <n v="938"/>
    <n v="934"/>
    <n v="918"/>
    <n v="1000"/>
    <n v="1000"/>
    <n v="724"/>
    <n v="728"/>
    <n v="664"/>
    <x v="11"/>
    <n v="778"/>
    <n v="1868"/>
    <n v="50000"/>
    <n v="29"/>
    <n v="4"/>
    <x v="1"/>
    <b v="1"/>
    <n v="387"/>
    <x v="20"/>
    <s v="QS Jun-2025 | THE Oct-2025 | ARWU Aug-2025"/>
  </r>
  <r>
    <x v="49"/>
    <x v="12"/>
    <x v="1"/>
    <x v="1"/>
    <x v="41"/>
    <n v="320"/>
    <n v="420"/>
    <n v="868"/>
    <n v="774"/>
    <n v="458"/>
    <n v="898"/>
    <n v="904"/>
    <n v="908"/>
    <n v="884"/>
    <n v="964"/>
    <n v="924"/>
    <n v="738"/>
    <n v="754"/>
    <n v="704"/>
    <x v="11"/>
    <n v="728"/>
    <n v="1472"/>
    <n v="53000"/>
    <n v="13"/>
    <n v="13"/>
    <x v="1"/>
    <b v="1"/>
    <n v="427"/>
    <x v="45"/>
    <s v="QS Jun-2025 | THE Oct-2025 | ARWU Aug-2025"/>
  </r>
  <r>
    <x v="50"/>
    <x v="13"/>
    <x v="4"/>
    <x v="1"/>
    <x v="42"/>
    <n v="1430"/>
    <n v="810"/>
    <n v="834"/>
    <n v="592"/>
    <n v="334"/>
    <n v="874"/>
    <n v="888"/>
    <n v="884"/>
    <n v="874"/>
    <n v="704"/>
    <n v="664"/>
    <n v="504"/>
    <n v="498"/>
    <n v="464"/>
    <x v="29"/>
    <n v="444"/>
    <n v="1934"/>
    <n v="96000"/>
    <n v="3"/>
    <n v="1"/>
    <x v="1"/>
    <b v="1"/>
    <n v="1067"/>
    <x v="46"/>
    <s v="QS Jun-2025 | THE Oct-2025 | ARWU Aug-2025"/>
  </r>
  <r>
    <x v="51"/>
    <x v="14"/>
    <x v="5"/>
    <x v="1"/>
    <x v="43"/>
    <n v="1780"/>
    <m/>
    <n v="784"/>
    <n v="558"/>
    <m/>
    <n v="834"/>
    <n v="848"/>
    <n v="844"/>
    <n v="824"/>
    <n v="884"/>
    <n v="844"/>
    <n v="484"/>
    <n v="478"/>
    <n v="434"/>
    <x v="30"/>
    <n v="604"/>
    <n v="1829"/>
    <n v="29000"/>
    <n v="36"/>
    <n v="0"/>
    <x v="1"/>
    <b v="0"/>
    <n v="1640"/>
    <x v="26"/>
    <s v="QS Jun-2025 | THE Oct-2025 | ARWU Aug-2025"/>
  </r>
  <r>
    <x v="52"/>
    <x v="15"/>
    <x v="2"/>
    <x v="1"/>
    <x v="44"/>
    <n v="3510"/>
    <m/>
    <n v="824"/>
    <n v="464"/>
    <m/>
    <n v="844"/>
    <n v="884"/>
    <n v="888"/>
    <n v="854"/>
    <n v="544"/>
    <n v="524"/>
    <n v="374"/>
    <n v="368"/>
    <n v="324"/>
    <x v="31"/>
    <n v="404"/>
    <n v="1958"/>
    <n v="10000"/>
    <n v="5"/>
    <n v="0"/>
    <x v="1"/>
    <b v="0"/>
    <n v="2345"/>
    <x v="42"/>
    <s v="QS Jun-2025 | THE Oct-2025 | ARWU Aug-2025"/>
  </r>
  <r>
    <x v="53"/>
    <x v="16"/>
    <x v="6"/>
    <x v="1"/>
    <x v="45"/>
    <n v="2340"/>
    <m/>
    <n v="854"/>
    <n v="514"/>
    <m/>
    <n v="874"/>
    <n v="898"/>
    <n v="894"/>
    <n v="874"/>
    <n v="684"/>
    <n v="624"/>
    <n v="394"/>
    <n v="388"/>
    <n v="344"/>
    <x v="32"/>
    <n v="524"/>
    <n v="1963"/>
    <n v="10000"/>
    <n v="16"/>
    <n v="0"/>
    <x v="1"/>
    <b v="0"/>
    <n v="1505"/>
    <x v="32"/>
    <s v="QS Jun-2025 | THE Oct-2025 | ARWU Aug-2025"/>
  </r>
  <r>
    <x v="54"/>
    <x v="17"/>
    <x v="1"/>
    <x v="1"/>
    <x v="46"/>
    <m/>
    <m/>
    <n v="832"/>
    <m/>
    <m/>
    <n v="874"/>
    <n v="898"/>
    <n v="894"/>
    <n v="874"/>
    <n v="984"/>
    <n v="924"/>
    <m/>
    <m/>
    <m/>
    <x v="33"/>
    <m/>
    <n v="1863"/>
    <n v="47000"/>
    <n v="21"/>
    <n v="0"/>
    <x v="1"/>
    <b v="0"/>
    <n v="980"/>
    <x v="47"/>
    <s v="QS Jun-2025 | THE Oct-2025 | ARWU Aug-2025"/>
  </r>
  <r>
    <x v="55"/>
    <x v="18"/>
    <x v="1"/>
    <x v="1"/>
    <x v="47"/>
    <n v="2510"/>
    <m/>
    <n v="724"/>
    <n v="504"/>
    <m/>
    <n v="784"/>
    <n v="748"/>
    <n v="754"/>
    <n v="744"/>
    <n v="724"/>
    <n v="684"/>
    <n v="414"/>
    <n v="408"/>
    <n v="374"/>
    <x v="34"/>
    <n v="564"/>
    <n v="1816"/>
    <n v="55000"/>
    <n v="14"/>
    <n v="0"/>
    <x v="1"/>
    <b v="0"/>
    <n v="2675"/>
    <x v="48"/>
    <s v="QS Jun-2025 | THE Oct-2025 | ARWU Aug-2025"/>
  </r>
  <r>
    <x v="56"/>
    <x v="19"/>
    <x v="2"/>
    <x v="0"/>
    <x v="48"/>
    <m/>
    <m/>
    <n v="624"/>
    <m/>
    <m/>
    <n v="644"/>
    <n v="628"/>
    <n v="634"/>
    <n v="644"/>
    <n v="784"/>
    <n v="824"/>
    <m/>
    <m/>
    <m/>
    <x v="33"/>
    <m/>
    <n v="1987"/>
    <n v="9000"/>
    <n v="80"/>
    <n v="0"/>
    <x v="1"/>
    <b v="0"/>
    <n v="4880"/>
    <x v="49"/>
    <s v="QS Jun-2025 | THE Oct-2025 | ARWU Aug-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18A708-46CB-4E77-898F-D97C6F8D46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3:B101" firstHeaderRow="1" firstDataRow="1" firstDataCol="1"/>
  <pivotFields count="30">
    <pivotField dataField="1" showAll="0">
      <items count="58">
        <item x="42"/>
        <item x="9"/>
        <item x="43"/>
        <item x="16"/>
        <item x="14"/>
        <item x="34"/>
        <item x="46"/>
        <item x="24"/>
        <item x="6"/>
        <item x="31"/>
        <item x="4"/>
        <item x="52"/>
        <item x="1"/>
        <item x="22"/>
        <item x="41"/>
        <item x="53"/>
        <item x="27"/>
        <item x="39"/>
        <item x="49"/>
        <item x="38"/>
        <item x="29"/>
        <item x="0"/>
        <item x="45"/>
        <item x="13"/>
        <item x="7"/>
        <item x="44"/>
        <item x="37"/>
        <item x="19"/>
        <item x="54"/>
        <item x="11"/>
        <item x="30"/>
        <item x="2"/>
        <item x="56"/>
        <item x="48"/>
        <item x="20"/>
        <item x="21"/>
        <item x="8"/>
        <item x="35"/>
        <item x="40"/>
        <item x="47"/>
        <item x="51"/>
        <item x="10"/>
        <item x="33"/>
        <item x="12"/>
        <item x="28"/>
        <item x="18"/>
        <item x="26"/>
        <item x="17"/>
        <item x="50"/>
        <item x="23"/>
        <item x="32"/>
        <item x="25"/>
        <item x="55"/>
        <item x="5"/>
        <item x="3"/>
        <item x="36"/>
        <item x="15"/>
        <item t="default"/>
      </items>
    </pivotField>
    <pivotField showAll="0"/>
    <pivotField axis="axisRow" showAll="0">
      <items count="8">
        <item x="5"/>
        <item x="2"/>
        <item x="1"/>
        <item x="4"/>
        <item x="6"/>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
        <item x="31"/>
        <item x="32"/>
        <item x="34"/>
        <item x="30"/>
        <item x="29"/>
        <item x="25"/>
        <item x="28"/>
        <item x="26"/>
        <item x="21"/>
        <item x="17"/>
        <item x="23"/>
        <item x="18"/>
        <item x="20"/>
        <item x="12"/>
        <item x="16"/>
        <item x="19"/>
        <item x="24"/>
        <item x="27"/>
        <item x="11"/>
        <item x="22"/>
        <item x="13"/>
        <item x="7"/>
        <item x="9"/>
        <item x="14"/>
        <item x="10"/>
        <item x="15"/>
        <item x="8"/>
        <item x="6"/>
        <item x="2"/>
        <item x="5"/>
        <item x="3"/>
        <item x="4"/>
        <item x="0"/>
        <item x="1"/>
        <item x="33"/>
        <item t="default"/>
      </items>
    </pivotField>
    <pivotField showAll="0"/>
    <pivotField showAll="0"/>
    <pivotField showAll="0"/>
    <pivotField showAll="0"/>
    <pivotField showAll="0"/>
    <pivotField showAll="0"/>
    <pivotField showAll="0"/>
    <pivotField showAll="0"/>
    <pivotField showAll="0">
      <items count="51">
        <item x="35"/>
        <item x="13"/>
        <item x="49"/>
        <item x="39"/>
        <item x="32"/>
        <item x="42"/>
        <item x="34"/>
        <item x="29"/>
        <item x="46"/>
        <item x="33"/>
        <item x="12"/>
        <item x="44"/>
        <item x="1"/>
        <item x="7"/>
        <item x="40"/>
        <item x="19"/>
        <item x="37"/>
        <item x="36"/>
        <item x="9"/>
        <item x="10"/>
        <item x="2"/>
        <item x="30"/>
        <item x="21"/>
        <item x="20"/>
        <item x="14"/>
        <item x="47"/>
        <item x="0"/>
        <item x="6"/>
        <item x="18"/>
        <item x="22"/>
        <item x="43"/>
        <item x="23"/>
        <item x="41"/>
        <item x="26"/>
        <item x="24"/>
        <item x="8"/>
        <item x="27"/>
        <item x="28"/>
        <item x="25"/>
        <item x="48"/>
        <item x="16"/>
        <item x="11"/>
        <item x="17"/>
        <item x="15"/>
        <item x="4"/>
        <item x="38"/>
        <item x="31"/>
        <item x="45"/>
        <item x="5"/>
        <item x="3"/>
        <item t="default"/>
      </items>
    </pivotField>
    <pivotField showAll="0"/>
  </pivotFields>
  <rowFields count="1">
    <field x="2"/>
  </rowFields>
  <rowItems count="8">
    <i>
      <x/>
    </i>
    <i>
      <x v="1"/>
    </i>
    <i>
      <x v="2"/>
    </i>
    <i>
      <x v="3"/>
    </i>
    <i>
      <x v="4"/>
    </i>
    <i>
      <x v="5"/>
    </i>
    <i>
      <x v="6"/>
    </i>
    <i t="grand">
      <x/>
    </i>
  </rowItems>
  <colItems count="1">
    <i/>
  </colItems>
  <dataFields count="1">
    <dataField name="Count of university"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3FEBD9-5DBB-4C12-9B4A-59CFA807F5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0:C88" firstHeaderRow="0" firstDataRow="1" firstDataCol="1"/>
  <pivotFields count="30">
    <pivotField axis="axisRow" showAll="0">
      <items count="58">
        <item x="42"/>
        <item x="9"/>
        <item x="43"/>
        <item x="16"/>
        <item x="14"/>
        <item x="34"/>
        <item x="46"/>
        <item x="24"/>
        <item x="6"/>
        <item x="31"/>
        <item x="4"/>
        <item x="52"/>
        <item x="1"/>
        <item x="22"/>
        <item x="41"/>
        <item x="53"/>
        <item x="27"/>
        <item x="39"/>
        <item x="49"/>
        <item x="38"/>
        <item x="29"/>
        <item x="0"/>
        <item x="45"/>
        <item x="13"/>
        <item x="7"/>
        <item x="44"/>
        <item x="37"/>
        <item x="19"/>
        <item x="54"/>
        <item x="11"/>
        <item x="30"/>
        <item x="2"/>
        <item x="56"/>
        <item x="48"/>
        <item x="20"/>
        <item x="21"/>
        <item x="8"/>
        <item x="35"/>
        <item x="40"/>
        <item x="47"/>
        <item x="51"/>
        <item x="10"/>
        <item x="33"/>
        <item x="12"/>
        <item x="28"/>
        <item x="18"/>
        <item x="26"/>
        <item x="17"/>
        <item x="50"/>
        <item x="23"/>
        <item x="32"/>
        <item x="25"/>
        <item x="55"/>
        <item x="5"/>
        <item x="3"/>
        <item x="36"/>
        <item x="15"/>
        <item t="default"/>
      </items>
    </pivotField>
    <pivotField showAll="0"/>
    <pivotField showAll="0">
      <items count="8">
        <item x="5"/>
        <item x="2"/>
        <item x="1"/>
        <item x="4"/>
        <item x="6"/>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items count="7">
        <item x="1"/>
        <item x="0"/>
        <item x="5"/>
        <item x="3"/>
        <item x="4"/>
        <item x="2"/>
        <item t="default"/>
      </items>
    </pivotField>
    <pivotField showAll="0"/>
    <pivotField showAll="0"/>
    <pivotField showAll="0"/>
    <pivotField showAll="0"/>
  </pivotFields>
  <rowFields count="1">
    <field x="0"/>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Fields count="1">
    <field x="-2"/>
  </colFields>
  <colItems count="2">
    <i>
      <x/>
    </i>
    <i i="1">
      <x v="1"/>
    </i>
  </colItems>
  <dataFields count="2">
    <dataField name="Sum of nobel_laureates" fld="24" baseField="0" baseItem="0"/>
    <dataField name="Sum of fields_medalists" fld="2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A3CD53-AD65-4170-8F3C-F814EC4EB8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26" firstHeaderRow="1" firstDataRow="2" firstDataCol="1"/>
  <pivotFields count="30">
    <pivotField showAll="0">
      <items count="58">
        <item x="42"/>
        <item x="9"/>
        <item x="43"/>
        <item x="16"/>
        <item x="14"/>
        <item x="34"/>
        <item x="46"/>
        <item x="24"/>
        <item x="6"/>
        <item x="31"/>
        <item x="4"/>
        <item x="52"/>
        <item x="1"/>
        <item x="22"/>
        <item x="41"/>
        <item x="53"/>
        <item x="27"/>
        <item x="39"/>
        <item x="49"/>
        <item x="38"/>
        <item x="29"/>
        <item x="0"/>
        <item x="45"/>
        <item x="13"/>
        <item x="7"/>
        <item x="44"/>
        <item x="37"/>
        <item x="19"/>
        <item x="54"/>
        <item x="11"/>
        <item x="30"/>
        <item x="2"/>
        <item x="56"/>
        <item x="48"/>
        <item x="20"/>
        <item x="21"/>
        <item x="8"/>
        <item x="35"/>
        <item x="40"/>
        <item x="47"/>
        <item x="51"/>
        <item x="10"/>
        <item x="33"/>
        <item x="12"/>
        <item x="28"/>
        <item x="18"/>
        <item x="26"/>
        <item x="17"/>
        <item x="50"/>
        <item x="23"/>
        <item x="32"/>
        <item x="25"/>
        <item x="55"/>
        <item x="5"/>
        <item x="3"/>
        <item x="36"/>
        <item x="15"/>
        <item t="default"/>
      </items>
    </pivotField>
    <pivotField axis="axisRow" showAll="0">
      <items count="21">
        <item x="5"/>
        <item x="13"/>
        <item x="7"/>
        <item x="6"/>
        <item x="10"/>
        <item x="12"/>
        <item x="4"/>
        <item x="15"/>
        <item x="17"/>
        <item x="9"/>
        <item x="19"/>
        <item x="11"/>
        <item x="18"/>
        <item x="16"/>
        <item x="3"/>
        <item x="14"/>
        <item x="8"/>
        <item x="2"/>
        <item x="1"/>
        <item x="0"/>
        <item t="default"/>
      </items>
    </pivotField>
    <pivotField showAll="0"/>
    <pivotField axis="axisCol" dataField="1" showAll="0">
      <items count="3">
        <item x="0"/>
        <item x="1"/>
        <item t="default"/>
      </items>
    </pivotField>
    <pivotField showAll="0">
      <items count="50">
        <item x="0"/>
        <item x="1"/>
        <item x="2"/>
        <item x="3"/>
        <item x="4"/>
        <item x="5"/>
        <item x="6"/>
        <item x="7"/>
        <item x="8"/>
        <item x="9"/>
        <item x="12"/>
        <item x="13"/>
        <item x="10"/>
        <item x="15"/>
        <item x="11"/>
        <item x="14"/>
        <item x="16"/>
        <item x="17"/>
        <item x="23"/>
        <item x="19"/>
        <item x="20"/>
        <item x="21"/>
        <item x="28"/>
        <item x="18"/>
        <item x="22"/>
        <item x="27"/>
        <item x="24"/>
        <item x="26"/>
        <item x="25"/>
        <item x="29"/>
        <item x="38"/>
        <item x="37"/>
        <item x="30"/>
        <item x="40"/>
        <item x="39"/>
        <item x="33"/>
        <item x="41"/>
        <item x="34"/>
        <item x="32"/>
        <item x="36"/>
        <item x="45"/>
        <item x="35"/>
        <item x="42"/>
        <item x="46"/>
        <item x="44"/>
        <item x="43"/>
        <item x="47"/>
        <item x="48"/>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3"/>
  </colFields>
  <colItems count="3">
    <i>
      <x/>
    </i>
    <i>
      <x v="1"/>
    </i>
    <i t="grand">
      <x/>
    </i>
  </colItems>
  <dataFields count="1">
    <dataField name="Count of university_type" fld="3" subtotal="count" baseField="0" baseItem="0"/>
  </dataField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97B44C-CD4E-4DFC-9BB3-1803106BFAC3}" autoFormatId="16" applyNumberFormats="0" applyBorderFormats="0" applyFontFormats="0" applyPatternFormats="0" applyAlignmentFormats="0" applyWidthHeightFormats="0">
  <queryTableRefresh nextId="31">
    <queryTableFields count="30">
      <queryTableField id="1" name="university" tableColumnId="1"/>
      <queryTableField id="2" name="country" tableColumnId="2"/>
      <queryTableField id="3" name="region" tableColumnId="3"/>
      <queryTableField id="4" name="university_type" tableColumnId="4"/>
      <queryTableField id="5" name="qs_rank_2026" tableColumnId="5"/>
      <queryTableField id="6" name="the_rank_2026" tableColumnId="6"/>
      <queryTableField id="7" name="arwu_rank_2025" tableColumnId="7"/>
      <queryTableField id="8" name="qs_score" tableColumnId="8"/>
      <queryTableField id="9" name="the_score" tableColumnId="9"/>
      <queryTableField id="10" name="arwu_score" tableColumnId="10"/>
      <queryTableField id="11" name="qs_academic_rep" tableColumnId="11"/>
      <queryTableField id="12" name="qs_employer_rep" tableColumnId="12"/>
      <queryTableField id="13" name="qs_faculty_student" tableColumnId="13"/>
      <queryTableField id="14" name="qs_citations" tableColumnId="14"/>
      <queryTableField id="15" name="qs_intl_faculty" tableColumnId="15"/>
      <queryTableField id="16" name="qs_intl_students" tableColumnId="16"/>
      <queryTableField id="17" name="the_teaching" tableColumnId="17"/>
      <queryTableField id="18" name="the_research_env" tableColumnId="18"/>
      <queryTableField id="19" name="the_research_quality" tableColumnId="19"/>
      <queryTableField id="20" name="the_industry" tableColumnId="20"/>
      <queryTableField id="21" name="the_intl_outlook" tableColumnId="21"/>
      <queryTableField id="22" name="founded" tableColumnId="22"/>
      <queryTableField id="23" name="total_students" tableColumnId="23"/>
      <queryTableField id="24" name="intl_students_pct" tableColumnId="24"/>
      <queryTableField id="25" name="nobel_laureates" tableColumnId="25"/>
      <queryTableField id="26" name="fields_medalists" tableColumnId="26"/>
      <queryTableField id="27" name="ranked_in_all_3" tableColumnId="27"/>
      <queryTableField id="28" name="avg_rank_all3" tableColumnId="28"/>
      <queryTableField id="29" name="university_age_2026" tableColumnId="29"/>
      <queryTableField id="30" name="data_sources"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2B27187-63C1-471B-B92F-EC0A0CF37A5E}" autoFormatId="16" applyNumberFormats="0" applyBorderFormats="0" applyFontFormats="0" applyPatternFormats="0" applyAlignmentFormats="0" applyWidthHeightFormats="0">
  <queryTableRefresh nextId="31">
    <queryTableFields count="30">
      <queryTableField id="1" name="university" tableColumnId="1"/>
      <queryTableField id="2" name="country" tableColumnId="2"/>
      <queryTableField id="3" name="region" tableColumnId="3"/>
      <queryTableField id="4" name="university_type" tableColumnId="4"/>
      <queryTableField id="5" name="qs_rank_2026" tableColumnId="5"/>
      <queryTableField id="6" name="the_rank_2026" tableColumnId="6"/>
      <queryTableField id="7" name="arwu_rank_2025" tableColumnId="7"/>
      <queryTableField id="8" name="qs_score" tableColumnId="8"/>
      <queryTableField id="9" name="the_score" tableColumnId="9"/>
      <queryTableField id="10" name="arwu_score" tableColumnId="10"/>
      <queryTableField id="11" name="qs_academic_rep" tableColumnId="11"/>
      <queryTableField id="12" name="qs_employer_rep" tableColumnId="12"/>
      <queryTableField id="13" name="qs_faculty_student" tableColumnId="13"/>
      <queryTableField id="14" name="qs_citations" tableColumnId="14"/>
      <queryTableField id="15" name="qs_intl_faculty" tableColumnId="15"/>
      <queryTableField id="16" name="qs_intl_students" tableColumnId="16"/>
      <queryTableField id="17" name="the_teaching" tableColumnId="17"/>
      <queryTableField id="18" name="the_research_env" tableColumnId="18"/>
      <queryTableField id="19" name="the_research_quality" tableColumnId="19"/>
      <queryTableField id="20" name="the_industry" tableColumnId="20"/>
      <queryTableField id="21" name="the_intl_outlook" tableColumnId="21"/>
      <queryTableField id="22" name="founded" tableColumnId="22"/>
      <queryTableField id="23" name="total_students" tableColumnId="23"/>
      <queryTableField id="24" name="intl_students_pct" tableColumnId="24"/>
      <queryTableField id="25" name="nobel_laureates" tableColumnId="25"/>
      <queryTableField id="26" name="fields_medalists" tableColumnId="26"/>
      <queryTableField id="27" name="ranked_in_all_3" tableColumnId="27"/>
      <queryTableField id="28" name="avg_rank_all3" tableColumnId="28"/>
      <queryTableField id="29" name="university_age_2026" tableColumnId="29"/>
      <queryTableField id="30" name="data_sources"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 xr10:uid="{6820273A-6F7D-4E1E-8808-B54305EFCAB1}" sourceName="university">
  <pivotTables>
    <pivotTable tabId="3" name="PivotTable4"/>
    <pivotTable tabId="3" name="PivotTable5"/>
    <pivotTable tabId="3" name="PivotTable6"/>
  </pivotTables>
  <data>
    <tabular pivotCacheId="1636556676">
      <items count="57">
        <i x="42" s="1"/>
        <i x="9" s="1"/>
        <i x="43" s="1"/>
        <i x="16" s="1"/>
        <i x="14" s="1"/>
        <i x="34" s="1"/>
        <i x="46" s="1"/>
        <i x="24" s="1"/>
        <i x="6" s="1"/>
        <i x="31" s="1"/>
        <i x="4" s="1"/>
        <i x="52" s="1"/>
        <i x="1" s="1"/>
        <i x="22" s="1"/>
        <i x="41" s="1"/>
        <i x="53" s="1"/>
        <i x="27" s="1"/>
        <i x="39" s="1"/>
        <i x="49" s="1"/>
        <i x="38" s="1"/>
        <i x="29" s="1"/>
        <i x="0" s="1"/>
        <i x="45" s="1"/>
        <i x="13" s="1"/>
        <i x="7" s="1"/>
        <i x="44" s="1"/>
        <i x="37" s="1"/>
        <i x="19" s="1"/>
        <i x="54" s="1"/>
        <i x="11" s="1"/>
        <i x="30" s="1"/>
        <i x="2" s="1"/>
        <i x="56" s="1"/>
        <i x="48" s="1"/>
        <i x="20" s="1"/>
        <i x="21" s="1"/>
        <i x="8" s="1"/>
        <i x="35" s="1"/>
        <i x="40" s="1"/>
        <i x="47" s="1"/>
        <i x="51" s="1"/>
        <i x="10" s="1"/>
        <i x="33" s="1"/>
        <i x="12" s="1"/>
        <i x="28" s="1"/>
        <i x="18" s="1"/>
        <i x="26" s="1"/>
        <i x="17" s="1"/>
        <i x="50" s="1"/>
        <i x="23" s="1"/>
        <i x="32" s="1"/>
        <i x="25" s="1"/>
        <i x="55" s="1"/>
        <i x="5" s="1"/>
        <i x="3" s="1"/>
        <i x="36"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15FD21A-04C5-4A3E-9F32-87DBC306E530}" sourceName="country">
  <pivotTables>
    <pivotTable tabId="3" name="PivotTable4"/>
  </pivotTables>
  <data>
    <tabular pivotCacheId="1636556676">
      <items count="20">
        <i x="5" s="1"/>
        <i x="13" s="1"/>
        <i x="7" s="1"/>
        <i x="6" s="1"/>
        <i x="10" s="1"/>
        <i x="12" s="1"/>
        <i x="4" s="1"/>
        <i x="15" s="1"/>
        <i x="17" s="1"/>
        <i x="9" s="1"/>
        <i x="19" s="1"/>
        <i x="11" s="1"/>
        <i x="18" s="1"/>
        <i x="16" s="1"/>
        <i x="3" s="1"/>
        <i x="14" s="1"/>
        <i x="8"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 xr10:uid="{155C78B4-240C-489C-902F-71E494294278}" cache="Slicer_university" caption="university" startItem="18" rowHeight="241300"/>
  <slicer name="country" xr10:uid="{398DF18D-FAC7-4244-8FBD-004E9BF8B79A}"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18DBD3-22B8-44C6-96D9-1228C75D825A}" name="world_university_rankings_2026" displayName="world_university_rankings_2026" ref="A1:AD58" tableType="queryTable" totalsRowShown="0">
  <autoFilter ref="A1:AD58" xr:uid="{2D18DBD3-22B8-44C6-96D9-1228C75D825A}"/>
  <tableColumns count="30">
    <tableColumn id="1" xr3:uid="{5F41E9C2-5EB9-4C9D-BE59-E4B11DB46392}" uniqueName="1" name="university" queryTableFieldId="1" dataDxfId="9"/>
    <tableColumn id="2" xr3:uid="{EA528F4B-79BE-4832-ABC9-85A3B76D0F8A}" uniqueName="2" name="country" queryTableFieldId="2" dataDxfId="8"/>
    <tableColumn id="3" xr3:uid="{4F65A52E-A743-4DC2-A9E7-7F41C4057AE5}" uniqueName="3" name="region" queryTableFieldId="3" dataDxfId="7"/>
    <tableColumn id="4" xr3:uid="{0753C3E9-54E0-42DD-B94B-2B0E891E4C55}" uniqueName="4" name="university_type" queryTableFieldId="4" dataDxfId="6"/>
    <tableColumn id="5" xr3:uid="{E694CCF6-995B-4766-BDDB-3C0C6EAD918F}" uniqueName="5" name="qs_rank_2026" queryTableFieldId="5"/>
    <tableColumn id="6" xr3:uid="{6A3E92EF-6AF2-435F-AB14-1AAA59846D48}" uniqueName="6" name="the_rank_2026" queryTableFieldId="6"/>
    <tableColumn id="7" xr3:uid="{F1D39EA0-5CDF-4E44-8535-A1376991C09E}" uniqueName="7" name="arwu_rank_2025" queryTableFieldId="7"/>
    <tableColumn id="8" xr3:uid="{CF823B47-A97F-4B7E-9176-90E74F18F474}" uniqueName="8" name="qs_score" queryTableFieldId="8"/>
    <tableColumn id="9" xr3:uid="{8DB3633B-3A8E-4934-BBD3-91355C166BD5}" uniqueName="9" name="the_score" queryTableFieldId="9"/>
    <tableColumn id="10" xr3:uid="{D634A200-BB90-4E7E-83B2-1E0D801B3ACE}" uniqueName="10" name="arwu_score" queryTableFieldId="10"/>
    <tableColumn id="11" xr3:uid="{9DF61CA6-C1E9-4696-AE85-1A54F360167B}" uniqueName="11" name="qs_academic_rep" queryTableFieldId="11"/>
    <tableColumn id="12" xr3:uid="{1652D81B-0B09-4BC7-861F-E63D3CBD0191}" uniqueName="12" name="qs_employer_rep" queryTableFieldId="12"/>
    <tableColumn id="13" xr3:uid="{30B786F1-4A09-423A-8A71-FDFABA7A8E87}" uniqueName="13" name="qs_faculty_student" queryTableFieldId="13"/>
    <tableColumn id="14" xr3:uid="{FEBEBA60-4393-4713-8457-18FB399686D3}" uniqueName="14" name="qs_citations" queryTableFieldId="14"/>
    <tableColumn id="15" xr3:uid="{2DE26E9B-7566-4AA4-8722-AF4861D8FC04}" uniqueName="15" name="qs_intl_faculty" queryTableFieldId="15"/>
    <tableColumn id="16" xr3:uid="{5DDC69B7-8EC0-4F6A-872C-08AFAA4CCA3C}" uniqueName="16" name="qs_intl_students" queryTableFieldId="16"/>
    <tableColumn id="17" xr3:uid="{2166EED1-BA07-48D9-936F-984BAF06FAB4}" uniqueName="17" name="the_teaching" queryTableFieldId="17"/>
    <tableColumn id="18" xr3:uid="{968DA2D8-C545-4AB7-A156-EBD513202FA7}" uniqueName="18" name="the_research_env" queryTableFieldId="18"/>
    <tableColumn id="19" xr3:uid="{069DE94F-550A-48CF-885D-4A04F240BF34}" uniqueName="19" name="the_research_quality" queryTableFieldId="19"/>
    <tableColumn id="20" xr3:uid="{65F84BD3-1ED8-46EE-B616-F3AA12511D61}" uniqueName="20" name="the_industry" queryTableFieldId="20"/>
    <tableColumn id="21" xr3:uid="{A384F9FE-2D24-44B1-BAD2-32CCE0F85AAA}" uniqueName="21" name="the_intl_outlook" queryTableFieldId="21"/>
    <tableColumn id="22" xr3:uid="{504FD0BD-D536-4744-B4BF-E8946B24206B}" uniqueName="22" name="founded" queryTableFieldId="22"/>
    <tableColumn id="23" xr3:uid="{2F3B6D8C-477A-4F08-871C-EDC9B126B8E5}" uniqueName="23" name="total_students" queryTableFieldId="23"/>
    <tableColumn id="24" xr3:uid="{FC345988-A700-4D28-8625-333302208A76}" uniqueName="24" name="intl_students_pct" queryTableFieldId="24"/>
    <tableColumn id="25" xr3:uid="{65D7E566-A7D3-48CB-9960-1EDD85E7C169}" uniqueName="25" name="nobel_laureates" queryTableFieldId="25"/>
    <tableColumn id="26" xr3:uid="{BECA0B9F-9982-4235-98F3-97B5E8C86974}" uniqueName="26" name="fields_medalists" queryTableFieldId="26"/>
    <tableColumn id="27" xr3:uid="{30E6FC99-E9D1-48E4-96BA-25A7F8324348}" uniqueName="27" name="ranked_in_all_3" queryTableFieldId="27"/>
    <tableColumn id="28" xr3:uid="{530387E5-CC19-40A1-B707-8713E9819ABB}" uniqueName="28" name="avg_rank_all3" queryTableFieldId="28"/>
    <tableColumn id="29" xr3:uid="{D1E6CC00-C70A-4E1B-BDDF-B7D5F0465751}" uniqueName="29" name="university_age_2026" queryTableFieldId="29"/>
    <tableColumn id="30" xr3:uid="{13042663-1227-429C-B94A-DF460C619AA3}" uniqueName="30" name="data_sources" queryTableFieldId="30" dataDxfId="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670EE4-BEEC-40B0-8CDF-AFA7818E74D1}" name="world_university_rankings_20263" displayName="world_university_rankings_20263" ref="A1:AD58" tableType="queryTable" totalsRowShown="0">
  <autoFilter ref="A1:AD58" xr:uid="{53670EE4-BEEC-40B0-8CDF-AFA7818E74D1}"/>
  <tableColumns count="30">
    <tableColumn id="1" xr3:uid="{AFA18139-EC38-4031-B766-D58B312F2866}" uniqueName="1" name="university" queryTableFieldId="1" dataDxfId="4"/>
    <tableColumn id="2" xr3:uid="{AA440918-D39E-461E-932C-1F1C3D78D145}" uniqueName="2" name="country" queryTableFieldId="2" dataDxfId="3"/>
    <tableColumn id="3" xr3:uid="{7DA63333-E090-4ACB-9D8E-97798ADBB6AC}" uniqueName="3" name="region" queryTableFieldId="3" dataDxfId="2"/>
    <tableColumn id="4" xr3:uid="{4F73C68C-3B5A-421B-93EF-265E9F3C3598}" uniqueName="4" name="university_type" queryTableFieldId="4" dataDxfId="1"/>
    <tableColumn id="5" xr3:uid="{B2A04A52-A0D6-47D9-9AFA-B5E45976DDDE}" uniqueName="5" name="qs_rank_2026" queryTableFieldId="5"/>
    <tableColumn id="6" xr3:uid="{AE1D6640-42CC-4595-B567-FD828C5D97F8}" uniqueName="6" name="the_rank_2026" queryTableFieldId="6"/>
    <tableColumn id="7" xr3:uid="{CB653BD9-7A47-42DE-A311-4F7248F333C6}" uniqueName="7" name="arwu_rank_2025" queryTableFieldId="7"/>
    <tableColumn id="8" xr3:uid="{574378E1-5EEA-4BBA-8ACA-84593CFFF3E4}" uniqueName="8" name="qs_score" queryTableFieldId="8"/>
    <tableColumn id="9" xr3:uid="{C6A4F73C-99D6-40DA-852F-FB067D355B92}" uniqueName="9" name="the_score" queryTableFieldId="9"/>
    <tableColumn id="10" xr3:uid="{46E5C99D-2331-4732-A12A-64368CA49758}" uniqueName="10" name="arwu_score" queryTableFieldId="10"/>
    <tableColumn id="11" xr3:uid="{29A977B4-02E5-44C5-8498-3F88737008C4}" uniqueName="11" name="qs_academic_rep" queryTableFieldId="11"/>
    <tableColumn id="12" xr3:uid="{362D7ADC-A255-49DF-B505-280547B8DCED}" uniqueName="12" name="qs_employer_rep" queryTableFieldId="12"/>
    <tableColumn id="13" xr3:uid="{32A64217-6475-477E-A2B5-D24C6FE5BE90}" uniqueName="13" name="qs_faculty_student" queryTableFieldId="13"/>
    <tableColumn id="14" xr3:uid="{6B820F3C-6862-48B5-9A14-4D45E6E56640}" uniqueName="14" name="qs_citations" queryTableFieldId="14"/>
    <tableColumn id="15" xr3:uid="{64B54D6D-02F2-4B03-92AC-7FEA3C9E711C}" uniqueName="15" name="qs_intl_faculty" queryTableFieldId="15"/>
    <tableColumn id="16" xr3:uid="{EB3953F1-70B5-4A14-B07D-3446D535CA7E}" uniqueName="16" name="qs_intl_students" queryTableFieldId="16"/>
    <tableColumn id="17" xr3:uid="{96D160D2-59A6-4D66-8BB5-5C7BFD63A821}" uniqueName="17" name="the_teaching" queryTableFieldId="17"/>
    <tableColumn id="18" xr3:uid="{C8CA4BBC-93E0-4AC1-B8B2-659E83DFB5AC}" uniqueName="18" name="the_research_env" queryTableFieldId="18"/>
    <tableColumn id="19" xr3:uid="{E4F85D90-4159-49AD-9F67-58ADBDA181E0}" uniqueName="19" name="the_research_quality" queryTableFieldId="19"/>
    <tableColumn id="20" xr3:uid="{A3AEC29E-7DEA-41EF-B65B-3E0323708E67}" uniqueName="20" name="the_industry" queryTableFieldId="20"/>
    <tableColumn id="21" xr3:uid="{85DE8C86-BDED-4C61-8278-054F7E7D0D9E}" uniqueName="21" name="the_intl_outlook" queryTableFieldId="21"/>
    <tableColumn id="22" xr3:uid="{E314334D-1AD2-4EFE-A67C-A2BD5BA6B238}" uniqueName="22" name="founded" queryTableFieldId="22"/>
    <tableColumn id="23" xr3:uid="{CA460948-8B66-4546-9B9E-561373261B05}" uniqueName="23" name="total_students" queryTableFieldId="23"/>
    <tableColumn id="24" xr3:uid="{B206EFC2-7F77-4444-9FD0-289E4778A123}" uniqueName="24" name="intl_students_pct" queryTableFieldId="24"/>
    <tableColumn id="25" xr3:uid="{B8AD7134-6DEA-449F-83EE-FC694D779DB5}" uniqueName="25" name="nobel_laureates" queryTableFieldId="25"/>
    <tableColumn id="26" xr3:uid="{FF63BC20-DF14-4FAB-98DB-CD1BA4EEB737}" uniqueName="26" name="fields_medalists" queryTableFieldId="26"/>
    <tableColumn id="27" xr3:uid="{73CCEEF8-80B0-4179-BA6E-8F8A8AFE23C7}" uniqueName="27" name="ranked_in_all_3" queryTableFieldId="27"/>
    <tableColumn id="28" xr3:uid="{84C2FBED-5981-4A16-935C-59E2DFB7ECEE}" uniqueName="28" name="avg_rank_all3" queryTableFieldId="28"/>
    <tableColumn id="29" xr3:uid="{D001A7C9-C598-45A6-A0B3-BD22853CF3F8}" uniqueName="29" name="university_age_2026" queryTableFieldId="29"/>
    <tableColumn id="30" xr3:uid="{0F253E7C-6FF5-4333-813A-4D1731EE72A8}" uniqueName="30" name="data_sources" queryTableFieldId="3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214D-953A-4950-8C11-9A5C88F9D1BB}">
  <dimension ref="A1:AD58"/>
  <sheetViews>
    <sheetView workbookViewId="0">
      <selection sqref="A1:XFD1048576"/>
    </sheetView>
  </sheetViews>
  <sheetFormatPr defaultRowHeight="15" x14ac:dyDescent="0.25"/>
  <cols>
    <col min="1" max="1" width="25.5703125" bestFit="1" customWidth="1"/>
    <col min="2" max="2" width="12" bestFit="1" customWidth="1"/>
    <col min="3" max="3" width="14" bestFit="1" customWidth="1"/>
    <col min="4" max="4" width="17.28515625" bestFit="1" customWidth="1"/>
    <col min="5" max="5" width="15.140625" bestFit="1" customWidth="1"/>
    <col min="6" max="6" width="16.28515625" bestFit="1" customWidth="1"/>
    <col min="7" max="7" width="17.7109375" bestFit="1" customWidth="1"/>
    <col min="8" max="8" width="11" bestFit="1" customWidth="1"/>
    <col min="9" max="9" width="12" bestFit="1" customWidth="1"/>
    <col min="10" max="10" width="13.42578125" bestFit="1" customWidth="1"/>
    <col min="11" max="11" width="18.7109375" bestFit="1" customWidth="1"/>
    <col min="12" max="12" width="19" bestFit="1" customWidth="1"/>
    <col min="13" max="13" width="20.42578125" bestFit="1" customWidth="1"/>
    <col min="14" max="14" width="13.85546875" bestFit="1" customWidth="1"/>
    <col min="15" max="15" width="16.42578125" bestFit="1" customWidth="1"/>
    <col min="16" max="16" width="18.140625" bestFit="1" customWidth="1"/>
    <col min="17" max="17" width="14.85546875" bestFit="1" customWidth="1"/>
    <col min="18" max="18" width="19.28515625" bestFit="1" customWidth="1"/>
    <col min="19" max="19" width="22.28515625" bestFit="1" customWidth="1"/>
    <col min="20" max="20" width="14.5703125" bestFit="1" customWidth="1"/>
    <col min="21" max="21" width="18.28515625" bestFit="1" customWidth="1"/>
    <col min="22" max="22" width="10.85546875" bestFit="1" customWidth="1"/>
    <col min="23" max="23" width="16.28515625" bestFit="1" customWidth="1"/>
    <col min="24" max="24" width="18.85546875" bestFit="1" customWidth="1"/>
    <col min="25" max="25" width="17.85546875" bestFit="1" customWidth="1"/>
    <col min="26" max="26" width="18" bestFit="1" customWidth="1"/>
    <col min="27" max="27" width="17.42578125" bestFit="1" customWidth="1"/>
    <col min="28" max="28" width="15.42578125" bestFit="1" customWidth="1"/>
    <col min="29" max="29" width="21.5703125" bestFit="1" customWidth="1"/>
    <col min="30" max="30" width="41.8554687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t="s">
        <v>31</v>
      </c>
      <c r="C2" t="s">
        <v>32</v>
      </c>
      <c r="D2" t="s">
        <v>33</v>
      </c>
      <c r="E2">
        <v>10</v>
      </c>
      <c r="F2">
        <v>20</v>
      </c>
      <c r="G2">
        <v>30</v>
      </c>
      <c r="H2">
        <v>1000</v>
      </c>
      <c r="I2">
        <v>964</v>
      </c>
      <c r="J2">
        <v>1000</v>
      </c>
      <c r="K2">
        <v>1000</v>
      </c>
      <c r="L2">
        <v>1000</v>
      </c>
      <c r="M2">
        <v>1000</v>
      </c>
      <c r="N2">
        <v>1000</v>
      </c>
      <c r="O2">
        <v>1000</v>
      </c>
      <c r="P2">
        <v>984</v>
      </c>
      <c r="Q2">
        <v>915</v>
      </c>
      <c r="R2">
        <v>998</v>
      </c>
      <c r="S2">
        <v>972</v>
      </c>
      <c r="T2">
        <v>802</v>
      </c>
      <c r="U2">
        <v>742</v>
      </c>
      <c r="V2">
        <v>1861</v>
      </c>
      <c r="W2">
        <v>11858</v>
      </c>
      <c r="X2">
        <v>34</v>
      </c>
      <c r="Y2">
        <v>100</v>
      </c>
      <c r="Z2">
        <v>1</v>
      </c>
      <c r="AA2" t="b">
        <v>1</v>
      </c>
      <c r="AB2">
        <v>20</v>
      </c>
      <c r="AC2">
        <v>165</v>
      </c>
      <c r="AD2" t="s">
        <v>34</v>
      </c>
    </row>
    <row r="3" spans="1:30" x14ac:dyDescent="0.25">
      <c r="A3" t="s">
        <v>35</v>
      </c>
      <c r="B3" t="s">
        <v>36</v>
      </c>
      <c r="C3" t="s">
        <v>37</v>
      </c>
      <c r="D3" t="s">
        <v>38</v>
      </c>
      <c r="E3">
        <v>20</v>
      </c>
      <c r="F3">
        <v>80</v>
      </c>
      <c r="H3">
        <v>992</v>
      </c>
      <c r="I3">
        <v>861</v>
      </c>
      <c r="K3">
        <v>994</v>
      </c>
      <c r="L3">
        <v>992</v>
      </c>
      <c r="M3">
        <v>1000</v>
      </c>
      <c r="N3">
        <v>994</v>
      </c>
      <c r="O3">
        <v>1000</v>
      </c>
      <c r="P3">
        <v>975</v>
      </c>
      <c r="Q3">
        <v>834</v>
      </c>
      <c r="R3">
        <v>921</v>
      </c>
      <c r="S3">
        <v>874</v>
      </c>
      <c r="T3">
        <v>804</v>
      </c>
      <c r="U3">
        <v>552</v>
      </c>
      <c r="V3">
        <v>1907</v>
      </c>
      <c r="W3">
        <v>19000</v>
      </c>
      <c r="X3">
        <v>61</v>
      </c>
      <c r="Y3">
        <v>15</v>
      </c>
      <c r="Z3">
        <v>0</v>
      </c>
      <c r="AA3" t="b">
        <v>0</v>
      </c>
      <c r="AB3">
        <v>50</v>
      </c>
      <c r="AC3">
        <v>119</v>
      </c>
      <c r="AD3" t="s">
        <v>34</v>
      </c>
    </row>
    <row r="4" spans="1:30" x14ac:dyDescent="0.25">
      <c r="A4" t="s">
        <v>39</v>
      </c>
      <c r="B4" t="s">
        <v>31</v>
      </c>
      <c r="C4" t="s">
        <v>32</v>
      </c>
      <c r="D4" t="s">
        <v>33</v>
      </c>
      <c r="E4">
        <v>30</v>
      </c>
      <c r="F4">
        <v>50</v>
      </c>
      <c r="G4">
        <v>20</v>
      </c>
      <c r="H4">
        <v>991</v>
      </c>
      <c r="I4">
        <v>955</v>
      </c>
      <c r="J4">
        <v>765</v>
      </c>
      <c r="K4">
        <v>992</v>
      </c>
      <c r="L4">
        <v>996</v>
      </c>
      <c r="M4">
        <v>1000</v>
      </c>
      <c r="N4">
        <v>998</v>
      </c>
      <c r="O4">
        <v>984</v>
      </c>
      <c r="P4">
        <v>992</v>
      </c>
      <c r="Q4">
        <v>952</v>
      </c>
      <c r="R4">
        <v>996</v>
      </c>
      <c r="S4">
        <v>994</v>
      </c>
      <c r="T4">
        <v>776</v>
      </c>
      <c r="U4">
        <v>884</v>
      </c>
      <c r="V4">
        <v>1885</v>
      </c>
      <c r="W4">
        <v>17249</v>
      </c>
      <c r="X4">
        <v>24</v>
      </c>
      <c r="Y4">
        <v>85</v>
      </c>
      <c r="Z4">
        <v>22</v>
      </c>
      <c r="AA4" t="b">
        <v>1</v>
      </c>
      <c r="AB4">
        <v>33</v>
      </c>
      <c r="AC4">
        <v>141</v>
      </c>
      <c r="AD4" t="s">
        <v>34</v>
      </c>
    </row>
    <row r="5" spans="1:30" x14ac:dyDescent="0.25">
      <c r="A5" t="s">
        <v>40</v>
      </c>
      <c r="B5" t="s">
        <v>36</v>
      </c>
      <c r="C5" t="s">
        <v>37</v>
      </c>
      <c r="D5" t="s">
        <v>38</v>
      </c>
      <c r="E5">
        <v>40</v>
      </c>
      <c r="F5">
        <v>10</v>
      </c>
      <c r="G5">
        <v>60</v>
      </c>
      <c r="H5">
        <v>989</v>
      </c>
      <c r="I5">
        <v>970</v>
      </c>
      <c r="J5">
        <v>724</v>
      </c>
      <c r="K5">
        <v>996</v>
      </c>
      <c r="L5">
        <v>998</v>
      </c>
      <c r="M5">
        <v>1000</v>
      </c>
      <c r="N5">
        <v>962</v>
      </c>
      <c r="O5">
        <v>1000</v>
      </c>
      <c r="P5">
        <v>984</v>
      </c>
      <c r="Q5">
        <v>978</v>
      </c>
      <c r="R5">
        <v>984</v>
      </c>
      <c r="S5">
        <v>958</v>
      </c>
      <c r="T5">
        <v>788</v>
      </c>
      <c r="U5">
        <v>664</v>
      </c>
      <c r="V5">
        <v>1096</v>
      </c>
      <c r="W5">
        <v>24000</v>
      </c>
      <c r="X5">
        <v>41</v>
      </c>
      <c r="Y5">
        <v>72</v>
      </c>
      <c r="Z5">
        <v>0</v>
      </c>
      <c r="AA5" t="b">
        <v>1</v>
      </c>
      <c r="AB5">
        <v>37</v>
      </c>
      <c r="AC5">
        <v>930</v>
      </c>
      <c r="AD5" t="s">
        <v>34</v>
      </c>
    </row>
    <row r="6" spans="1:30" x14ac:dyDescent="0.25">
      <c r="A6" t="s">
        <v>41</v>
      </c>
      <c r="B6" t="s">
        <v>31</v>
      </c>
      <c r="C6" t="s">
        <v>32</v>
      </c>
      <c r="D6" t="s">
        <v>33</v>
      </c>
      <c r="E6">
        <v>50</v>
      </c>
      <c r="F6">
        <v>50</v>
      </c>
      <c r="G6">
        <v>10</v>
      </c>
      <c r="H6">
        <v>988</v>
      </c>
      <c r="I6">
        <v>955</v>
      </c>
      <c r="J6">
        <v>1000</v>
      </c>
      <c r="K6">
        <v>998</v>
      </c>
      <c r="L6">
        <v>998</v>
      </c>
      <c r="M6">
        <v>1000</v>
      </c>
      <c r="N6">
        <v>976</v>
      </c>
      <c r="O6">
        <v>882</v>
      </c>
      <c r="P6">
        <v>992</v>
      </c>
      <c r="Q6">
        <v>954</v>
      </c>
      <c r="R6">
        <v>992</v>
      </c>
      <c r="S6">
        <v>974</v>
      </c>
      <c r="T6">
        <v>792</v>
      </c>
      <c r="U6">
        <v>774</v>
      </c>
      <c r="V6">
        <v>1636</v>
      </c>
      <c r="W6">
        <v>21000</v>
      </c>
      <c r="X6">
        <v>25</v>
      </c>
      <c r="Y6">
        <v>162</v>
      </c>
      <c r="Z6">
        <v>4</v>
      </c>
      <c r="AA6" t="b">
        <v>1</v>
      </c>
      <c r="AB6">
        <v>37</v>
      </c>
      <c r="AC6">
        <v>390</v>
      </c>
      <c r="AD6" t="s">
        <v>34</v>
      </c>
    </row>
    <row r="7" spans="1:30" x14ac:dyDescent="0.25">
      <c r="A7" t="s">
        <v>42</v>
      </c>
      <c r="B7" t="s">
        <v>36</v>
      </c>
      <c r="C7" t="s">
        <v>37</v>
      </c>
      <c r="D7" t="s">
        <v>38</v>
      </c>
      <c r="E7">
        <v>60</v>
      </c>
      <c r="F7">
        <v>30</v>
      </c>
      <c r="G7">
        <v>40</v>
      </c>
      <c r="H7">
        <v>984</v>
      </c>
      <c r="I7">
        <v>962</v>
      </c>
      <c r="J7">
        <v>832</v>
      </c>
      <c r="K7">
        <v>994</v>
      </c>
      <c r="L7">
        <v>996</v>
      </c>
      <c r="M7">
        <v>1000</v>
      </c>
      <c r="N7">
        <v>958</v>
      </c>
      <c r="O7">
        <v>1000</v>
      </c>
      <c r="P7">
        <v>992</v>
      </c>
      <c r="Q7">
        <v>964</v>
      </c>
      <c r="R7">
        <v>988</v>
      </c>
      <c r="S7">
        <v>962</v>
      </c>
      <c r="T7">
        <v>784</v>
      </c>
      <c r="U7">
        <v>684</v>
      </c>
      <c r="V7">
        <v>1209</v>
      </c>
      <c r="W7">
        <v>24500</v>
      </c>
      <c r="X7">
        <v>38</v>
      </c>
      <c r="Y7">
        <v>121</v>
      </c>
      <c r="Z7">
        <v>1</v>
      </c>
      <c r="AA7" t="b">
        <v>1</v>
      </c>
      <c r="AB7">
        <v>43</v>
      </c>
      <c r="AC7">
        <v>817</v>
      </c>
      <c r="AD7" t="s">
        <v>34</v>
      </c>
    </row>
    <row r="8" spans="1:30" x14ac:dyDescent="0.25">
      <c r="A8" t="s">
        <v>43</v>
      </c>
      <c r="B8" t="s">
        <v>44</v>
      </c>
      <c r="C8" t="s">
        <v>37</v>
      </c>
      <c r="D8" t="s">
        <v>38</v>
      </c>
      <c r="E8">
        <v>70</v>
      </c>
      <c r="F8">
        <v>70</v>
      </c>
      <c r="G8">
        <v>220</v>
      </c>
      <c r="H8">
        <v>978</v>
      </c>
      <c r="I8">
        <v>874</v>
      </c>
      <c r="J8">
        <v>558</v>
      </c>
      <c r="K8">
        <v>974</v>
      </c>
      <c r="L8">
        <v>968</v>
      </c>
      <c r="M8">
        <v>1000</v>
      </c>
      <c r="N8">
        <v>972</v>
      </c>
      <c r="O8">
        <v>1000</v>
      </c>
      <c r="P8">
        <v>1000</v>
      </c>
      <c r="Q8">
        <v>854</v>
      </c>
      <c r="R8">
        <v>884</v>
      </c>
      <c r="S8">
        <v>852</v>
      </c>
      <c r="T8">
        <v>774</v>
      </c>
      <c r="U8">
        <v>998</v>
      </c>
      <c r="V8">
        <v>1855</v>
      </c>
      <c r="W8">
        <v>24500</v>
      </c>
      <c r="X8">
        <v>41</v>
      </c>
      <c r="Y8">
        <v>32</v>
      </c>
      <c r="Z8">
        <v>1</v>
      </c>
      <c r="AA8" t="b">
        <v>1</v>
      </c>
      <c r="AB8">
        <v>120</v>
      </c>
      <c r="AC8">
        <v>171</v>
      </c>
      <c r="AD8" t="s">
        <v>34</v>
      </c>
    </row>
    <row r="9" spans="1:30" x14ac:dyDescent="0.25">
      <c r="A9" t="s">
        <v>45</v>
      </c>
      <c r="B9" t="s">
        <v>46</v>
      </c>
      <c r="C9" t="s">
        <v>47</v>
      </c>
      <c r="D9" t="s">
        <v>38</v>
      </c>
      <c r="E9">
        <v>80</v>
      </c>
      <c r="F9">
        <v>170</v>
      </c>
      <c r="H9">
        <v>972</v>
      </c>
      <c r="I9">
        <v>846</v>
      </c>
      <c r="K9">
        <v>968</v>
      </c>
      <c r="L9">
        <v>994</v>
      </c>
      <c r="M9">
        <v>984</v>
      </c>
      <c r="N9">
        <v>994</v>
      </c>
      <c r="O9">
        <v>1000</v>
      </c>
      <c r="P9">
        <v>1000</v>
      </c>
      <c r="Q9">
        <v>808</v>
      </c>
      <c r="R9">
        <v>854</v>
      </c>
      <c r="S9">
        <v>802</v>
      </c>
      <c r="T9">
        <v>724</v>
      </c>
      <c r="U9">
        <v>1000</v>
      </c>
      <c r="V9">
        <v>1905</v>
      </c>
      <c r="W9">
        <v>40000</v>
      </c>
      <c r="X9">
        <v>36</v>
      </c>
      <c r="Y9">
        <v>3</v>
      </c>
      <c r="Z9">
        <v>0</v>
      </c>
      <c r="AA9" t="b">
        <v>0</v>
      </c>
      <c r="AB9">
        <v>125</v>
      </c>
      <c r="AC9">
        <v>121</v>
      </c>
      <c r="AD9" t="s">
        <v>34</v>
      </c>
    </row>
    <row r="10" spans="1:30" x14ac:dyDescent="0.25">
      <c r="A10" t="s">
        <v>48</v>
      </c>
      <c r="B10" t="s">
        <v>36</v>
      </c>
      <c r="C10" t="s">
        <v>37</v>
      </c>
      <c r="D10" t="s">
        <v>38</v>
      </c>
      <c r="E10">
        <v>90</v>
      </c>
      <c r="F10">
        <v>90</v>
      </c>
      <c r="H10">
        <v>970</v>
      </c>
      <c r="I10">
        <v>860</v>
      </c>
      <c r="K10">
        <v>978</v>
      </c>
      <c r="L10">
        <v>984</v>
      </c>
      <c r="M10">
        <v>1000</v>
      </c>
      <c r="N10">
        <v>968</v>
      </c>
      <c r="O10">
        <v>1000</v>
      </c>
      <c r="P10">
        <v>1000</v>
      </c>
      <c r="Q10">
        <v>854</v>
      </c>
      <c r="R10">
        <v>888</v>
      </c>
      <c r="S10">
        <v>804</v>
      </c>
      <c r="T10">
        <v>768</v>
      </c>
      <c r="U10">
        <v>724</v>
      </c>
      <c r="V10">
        <v>1826</v>
      </c>
      <c r="W10">
        <v>39000</v>
      </c>
      <c r="X10">
        <v>56</v>
      </c>
      <c r="Y10">
        <v>14</v>
      </c>
      <c r="Z10">
        <v>0</v>
      </c>
      <c r="AA10" t="b">
        <v>0</v>
      </c>
      <c r="AB10">
        <v>90</v>
      </c>
      <c r="AC10">
        <v>200</v>
      </c>
      <c r="AD10" t="s">
        <v>34</v>
      </c>
    </row>
    <row r="11" spans="1:30" x14ac:dyDescent="0.25">
      <c r="A11" t="s">
        <v>49</v>
      </c>
      <c r="B11" t="s">
        <v>31</v>
      </c>
      <c r="C11" t="s">
        <v>32</v>
      </c>
      <c r="D11" t="s">
        <v>33</v>
      </c>
      <c r="E11">
        <v>100</v>
      </c>
      <c r="F11">
        <v>70</v>
      </c>
      <c r="G11">
        <v>90</v>
      </c>
      <c r="H11">
        <v>968</v>
      </c>
      <c r="I11">
        <v>874</v>
      </c>
      <c r="J11">
        <v>658</v>
      </c>
      <c r="K11">
        <v>964</v>
      </c>
      <c r="L11">
        <v>962</v>
      </c>
      <c r="M11">
        <v>1000</v>
      </c>
      <c r="N11">
        <v>1000</v>
      </c>
      <c r="O11">
        <v>884</v>
      </c>
      <c r="P11">
        <v>912</v>
      </c>
      <c r="Q11">
        <v>854</v>
      </c>
      <c r="R11">
        <v>992</v>
      </c>
      <c r="S11">
        <v>974</v>
      </c>
      <c r="T11">
        <v>724</v>
      </c>
      <c r="U11">
        <v>600</v>
      </c>
      <c r="V11">
        <v>1891</v>
      </c>
      <c r="W11">
        <v>2240</v>
      </c>
      <c r="X11">
        <v>32</v>
      </c>
      <c r="Y11">
        <v>46</v>
      </c>
      <c r="Z11">
        <v>6</v>
      </c>
      <c r="AA11" t="b">
        <v>1</v>
      </c>
      <c r="AB11">
        <v>87</v>
      </c>
      <c r="AC11">
        <v>135</v>
      </c>
      <c r="AD11" t="s">
        <v>34</v>
      </c>
    </row>
    <row r="12" spans="1:30" x14ac:dyDescent="0.25">
      <c r="A12" t="s">
        <v>50</v>
      </c>
      <c r="B12" t="s">
        <v>31</v>
      </c>
      <c r="C12" t="s">
        <v>32</v>
      </c>
      <c r="D12" t="s">
        <v>33</v>
      </c>
      <c r="E12">
        <v>130</v>
      </c>
      <c r="F12">
        <v>150</v>
      </c>
      <c r="G12">
        <v>100</v>
      </c>
      <c r="H12">
        <v>962</v>
      </c>
      <c r="I12">
        <v>838</v>
      </c>
      <c r="J12">
        <v>642</v>
      </c>
      <c r="K12">
        <v>972</v>
      </c>
      <c r="L12">
        <v>984</v>
      </c>
      <c r="M12">
        <v>984</v>
      </c>
      <c r="N12">
        <v>984</v>
      </c>
      <c r="O12">
        <v>862</v>
      </c>
      <c r="P12">
        <v>784</v>
      </c>
      <c r="Q12">
        <v>824</v>
      </c>
      <c r="R12">
        <v>972</v>
      </c>
      <c r="S12">
        <v>958</v>
      </c>
      <c r="T12">
        <v>728</v>
      </c>
      <c r="U12">
        <v>602</v>
      </c>
      <c r="V12">
        <v>1890</v>
      </c>
      <c r="W12">
        <v>17002</v>
      </c>
      <c r="X12">
        <v>30</v>
      </c>
      <c r="Y12">
        <v>100</v>
      </c>
      <c r="Z12">
        <v>1</v>
      </c>
      <c r="AA12" t="b">
        <v>1</v>
      </c>
      <c r="AB12">
        <v>127</v>
      </c>
      <c r="AC12">
        <v>136</v>
      </c>
      <c r="AD12" t="s">
        <v>34</v>
      </c>
    </row>
    <row r="13" spans="1:30" x14ac:dyDescent="0.25">
      <c r="A13" t="s">
        <v>51</v>
      </c>
      <c r="B13" t="s">
        <v>31</v>
      </c>
      <c r="C13" t="s">
        <v>32</v>
      </c>
      <c r="D13" t="s">
        <v>33</v>
      </c>
      <c r="E13">
        <v>150</v>
      </c>
      <c r="F13">
        <v>30</v>
      </c>
      <c r="G13">
        <v>70</v>
      </c>
      <c r="H13">
        <v>948</v>
      </c>
      <c r="I13">
        <v>962</v>
      </c>
      <c r="J13">
        <v>708</v>
      </c>
      <c r="K13">
        <v>974</v>
      </c>
      <c r="L13">
        <v>978</v>
      </c>
      <c r="M13">
        <v>1000</v>
      </c>
      <c r="N13">
        <v>962</v>
      </c>
      <c r="O13">
        <v>804</v>
      </c>
      <c r="P13">
        <v>684</v>
      </c>
      <c r="Q13">
        <v>924</v>
      </c>
      <c r="R13">
        <v>992</v>
      </c>
      <c r="S13">
        <v>978</v>
      </c>
      <c r="T13">
        <v>748</v>
      </c>
      <c r="U13">
        <v>644</v>
      </c>
      <c r="V13">
        <v>1746</v>
      </c>
      <c r="W13">
        <v>8374</v>
      </c>
      <c r="X13">
        <v>25</v>
      </c>
      <c r="Y13">
        <v>64</v>
      </c>
      <c r="Z13">
        <v>1</v>
      </c>
      <c r="AA13" t="b">
        <v>1</v>
      </c>
      <c r="AB13">
        <v>83</v>
      </c>
      <c r="AC13">
        <v>280</v>
      </c>
      <c r="AD13" t="s">
        <v>34</v>
      </c>
    </row>
    <row r="14" spans="1:30" x14ac:dyDescent="0.25">
      <c r="A14" t="s">
        <v>52</v>
      </c>
      <c r="B14" t="s">
        <v>53</v>
      </c>
      <c r="C14" t="s">
        <v>47</v>
      </c>
      <c r="D14" t="s">
        <v>38</v>
      </c>
      <c r="E14">
        <v>110</v>
      </c>
      <c r="F14">
        <v>350</v>
      </c>
      <c r="H14">
        <v>962</v>
      </c>
      <c r="I14">
        <v>768</v>
      </c>
      <c r="K14">
        <v>958</v>
      </c>
      <c r="L14">
        <v>974</v>
      </c>
      <c r="M14">
        <v>974</v>
      </c>
      <c r="N14">
        <v>968</v>
      </c>
      <c r="O14">
        <v>1000</v>
      </c>
      <c r="P14">
        <v>1000</v>
      </c>
      <c r="Q14">
        <v>724</v>
      </c>
      <c r="R14">
        <v>728</v>
      </c>
      <c r="S14">
        <v>654</v>
      </c>
      <c r="T14">
        <v>684</v>
      </c>
      <c r="U14">
        <v>922</v>
      </c>
      <c r="V14">
        <v>1911</v>
      </c>
      <c r="W14">
        <v>30000</v>
      </c>
      <c r="X14">
        <v>34</v>
      </c>
      <c r="Y14">
        <v>0</v>
      </c>
      <c r="Z14">
        <v>0</v>
      </c>
      <c r="AA14" t="b">
        <v>0</v>
      </c>
      <c r="AB14">
        <v>230</v>
      </c>
      <c r="AC14">
        <v>115</v>
      </c>
      <c r="AD14" t="s">
        <v>34</v>
      </c>
    </row>
    <row r="15" spans="1:30" x14ac:dyDescent="0.25">
      <c r="A15" t="s">
        <v>54</v>
      </c>
      <c r="B15" t="s">
        <v>46</v>
      </c>
      <c r="C15" t="s">
        <v>47</v>
      </c>
      <c r="D15" t="s">
        <v>38</v>
      </c>
      <c r="E15">
        <v>120</v>
      </c>
      <c r="F15">
        <v>460</v>
      </c>
      <c r="H15">
        <v>954</v>
      </c>
      <c r="I15">
        <v>712</v>
      </c>
      <c r="K15">
        <v>952</v>
      </c>
      <c r="L15">
        <v>968</v>
      </c>
      <c r="M15">
        <v>968</v>
      </c>
      <c r="N15">
        <v>968</v>
      </c>
      <c r="O15">
        <v>1000</v>
      </c>
      <c r="P15">
        <v>1000</v>
      </c>
      <c r="Q15">
        <v>664</v>
      </c>
      <c r="R15">
        <v>642</v>
      </c>
      <c r="S15">
        <v>608</v>
      </c>
      <c r="T15">
        <v>624</v>
      </c>
      <c r="U15">
        <v>968</v>
      </c>
      <c r="V15">
        <v>1991</v>
      </c>
      <c r="W15">
        <v>33000</v>
      </c>
      <c r="X15">
        <v>34</v>
      </c>
      <c r="Y15">
        <v>0</v>
      </c>
      <c r="Z15">
        <v>0</v>
      </c>
      <c r="AA15" t="b">
        <v>0</v>
      </c>
      <c r="AB15">
        <v>290</v>
      </c>
      <c r="AC15">
        <v>35</v>
      </c>
      <c r="AD15" t="s">
        <v>34</v>
      </c>
    </row>
    <row r="16" spans="1:30" x14ac:dyDescent="0.25">
      <c r="A16" t="s">
        <v>55</v>
      </c>
      <c r="B16" t="s">
        <v>31</v>
      </c>
      <c r="C16" t="s">
        <v>32</v>
      </c>
      <c r="D16" t="s">
        <v>33</v>
      </c>
      <c r="E16">
        <v>130</v>
      </c>
      <c r="F16">
        <v>180</v>
      </c>
      <c r="H16">
        <v>952</v>
      </c>
      <c r="I16">
        <v>832</v>
      </c>
      <c r="K16">
        <v>972</v>
      </c>
      <c r="L16">
        <v>992</v>
      </c>
      <c r="M16">
        <v>978</v>
      </c>
      <c r="N16">
        <v>948</v>
      </c>
      <c r="O16">
        <v>858</v>
      </c>
      <c r="P16">
        <v>842</v>
      </c>
      <c r="Q16">
        <v>808</v>
      </c>
      <c r="R16">
        <v>884</v>
      </c>
      <c r="S16">
        <v>864</v>
      </c>
      <c r="T16">
        <v>704</v>
      </c>
      <c r="U16">
        <v>608</v>
      </c>
      <c r="V16">
        <v>1865</v>
      </c>
      <c r="W16">
        <v>24000</v>
      </c>
      <c r="X16">
        <v>27</v>
      </c>
      <c r="Y16">
        <v>45</v>
      </c>
      <c r="Z16">
        <v>0</v>
      </c>
      <c r="AA16" t="b">
        <v>0</v>
      </c>
      <c r="AB16">
        <v>155</v>
      </c>
      <c r="AC16">
        <v>161</v>
      </c>
      <c r="AD16" t="s">
        <v>34</v>
      </c>
    </row>
    <row r="17" spans="1:30" x14ac:dyDescent="0.25">
      <c r="A17" t="s">
        <v>56</v>
      </c>
      <c r="B17" t="s">
        <v>31</v>
      </c>
      <c r="C17" t="s">
        <v>32</v>
      </c>
      <c r="D17" t="s">
        <v>33</v>
      </c>
      <c r="E17">
        <v>160</v>
      </c>
      <c r="F17">
        <v>90</v>
      </c>
      <c r="G17">
        <v>140</v>
      </c>
      <c r="H17">
        <v>944</v>
      </c>
      <c r="I17">
        <v>860</v>
      </c>
      <c r="J17">
        <v>608</v>
      </c>
      <c r="K17">
        <v>976</v>
      </c>
      <c r="L17">
        <v>984</v>
      </c>
      <c r="M17">
        <v>1000</v>
      </c>
      <c r="N17">
        <v>924</v>
      </c>
      <c r="O17">
        <v>804</v>
      </c>
      <c r="P17">
        <v>748</v>
      </c>
      <c r="Q17">
        <v>834</v>
      </c>
      <c r="R17">
        <v>958</v>
      </c>
      <c r="S17">
        <v>962</v>
      </c>
      <c r="T17">
        <v>744</v>
      </c>
      <c r="U17">
        <v>642</v>
      </c>
      <c r="V17">
        <v>1701</v>
      </c>
      <c r="W17">
        <v>14500</v>
      </c>
      <c r="X17">
        <v>21</v>
      </c>
      <c r="Y17">
        <v>65</v>
      </c>
      <c r="Z17">
        <v>1</v>
      </c>
      <c r="AA17" t="b">
        <v>1</v>
      </c>
      <c r="AB17">
        <v>130</v>
      </c>
      <c r="AC17">
        <v>325</v>
      </c>
      <c r="AD17" t="s">
        <v>34</v>
      </c>
    </row>
    <row r="18" spans="1:30" x14ac:dyDescent="0.25">
      <c r="A18" t="s">
        <v>57</v>
      </c>
      <c r="B18" t="s">
        <v>31</v>
      </c>
      <c r="C18" t="s">
        <v>32</v>
      </c>
      <c r="D18" t="s">
        <v>33</v>
      </c>
      <c r="E18">
        <v>140</v>
      </c>
      <c r="F18">
        <v>200</v>
      </c>
      <c r="G18">
        <v>80</v>
      </c>
      <c r="H18">
        <v>950</v>
      </c>
      <c r="I18">
        <v>818</v>
      </c>
      <c r="J18">
        <v>668</v>
      </c>
      <c r="K18">
        <v>972</v>
      </c>
      <c r="L18">
        <v>988</v>
      </c>
      <c r="M18">
        <v>974</v>
      </c>
      <c r="N18">
        <v>958</v>
      </c>
      <c r="O18">
        <v>884</v>
      </c>
      <c r="P18">
        <v>884</v>
      </c>
      <c r="Q18">
        <v>784</v>
      </c>
      <c r="R18">
        <v>904</v>
      </c>
      <c r="S18">
        <v>902</v>
      </c>
      <c r="T18">
        <v>724</v>
      </c>
      <c r="U18">
        <v>724</v>
      </c>
      <c r="V18">
        <v>1754</v>
      </c>
      <c r="W18">
        <v>31000</v>
      </c>
      <c r="X18">
        <v>47</v>
      </c>
      <c r="Y18">
        <v>101</v>
      </c>
      <c r="Z18">
        <v>0</v>
      </c>
      <c r="AA18" t="b">
        <v>1</v>
      </c>
      <c r="AB18">
        <v>140</v>
      </c>
      <c r="AC18">
        <v>272</v>
      </c>
      <c r="AD18" t="s">
        <v>34</v>
      </c>
    </row>
    <row r="19" spans="1:30" x14ac:dyDescent="0.25">
      <c r="A19" t="s">
        <v>58</v>
      </c>
      <c r="B19" t="s">
        <v>31</v>
      </c>
      <c r="C19" t="s">
        <v>32</v>
      </c>
      <c r="D19" t="s">
        <v>33</v>
      </c>
      <c r="E19">
        <v>120</v>
      </c>
      <c r="F19">
        <v>140</v>
      </c>
      <c r="H19">
        <v>958</v>
      </c>
      <c r="I19">
        <v>842</v>
      </c>
      <c r="K19">
        <v>968</v>
      </c>
      <c r="L19">
        <v>992</v>
      </c>
      <c r="M19">
        <v>974</v>
      </c>
      <c r="N19">
        <v>958</v>
      </c>
      <c r="O19">
        <v>868</v>
      </c>
      <c r="P19">
        <v>882</v>
      </c>
      <c r="Q19">
        <v>822</v>
      </c>
      <c r="R19">
        <v>924</v>
      </c>
      <c r="S19">
        <v>884</v>
      </c>
      <c r="T19">
        <v>724</v>
      </c>
      <c r="U19">
        <v>604</v>
      </c>
      <c r="V19">
        <v>1740</v>
      </c>
      <c r="W19">
        <v>22000</v>
      </c>
      <c r="X19">
        <v>21</v>
      </c>
      <c r="Y19">
        <v>8</v>
      </c>
      <c r="Z19">
        <v>0</v>
      </c>
      <c r="AA19" t="b">
        <v>0</v>
      </c>
      <c r="AB19">
        <v>130</v>
      </c>
      <c r="AC19">
        <v>286</v>
      </c>
      <c r="AD19" t="s">
        <v>34</v>
      </c>
    </row>
    <row r="20" spans="1:30" x14ac:dyDescent="0.25">
      <c r="A20" t="s">
        <v>59</v>
      </c>
      <c r="B20" t="s">
        <v>60</v>
      </c>
      <c r="C20" t="s">
        <v>61</v>
      </c>
      <c r="D20" t="s">
        <v>38</v>
      </c>
      <c r="E20">
        <v>190</v>
      </c>
      <c r="F20">
        <v>160</v>
      </c>
      <c r="G20">
        <v>330</v>
      </c>
      <c r="H20">
        <v>938</v>
      </c>
      <c r="I20">
        <v>834</v>
      </c>
      <c r="J20">
        <v>488</v>
      </c>
      <c r="K20">
        <v>954</v>
      </c>
      <c r="L20">
        <v>968</v>
      </c>
      <c r="M20">
        <v>968</v>
      </c>
      <c r="N20">
        <v>958</v>
      </c>
      <c r="O20">
        <v>992</v>
      </c>
      <c r="P20">
        <v>1000</v>
      </c>
      <c r="Q20">
        <v>808</v>
      </c>
      <c r="R20">
        <v>842</v>
      </c>
      <c r="S20">
        <v>794</v>
      </c>
      <c r="T20">
        <v>704</v>
      </c>
      <c r="U20">
        <v>688</v>
      </c>
      <c r="V20">
        <v>1853</v>
      </c>
      <c r="W20">
        <v>52000</v>
      </c>
      <c r="X20">
        <v>44</v>
      </c>
      <c r="Y20">
        <v>8</v>
      </c>
      <c r="Z20">
        <v>0</v>
      </c>
      <c r="AA20" t="b">
        <v>1</v>
      </c>
      <c r="AB20">
        <v>227</v>
      </c>
      <c r="AC20">
        <v>173</v>
      </c>
      <c r="AD20" t="s">
        <v>34</v>
      </c>
    </row>
    <row r="21" spans="1:30" x14ac:dyDescent="0.25">
      <c r="A21" t="s">
        <v>62</v>
      </c>
      <c r="B21" t="s">
        <v>63</v>
      </c>
      <c r="C21" t="s">
        <v>47</v>
      </c>
      <c r="D21" t="s">
        <v>38</v>
      </c>
      <c r="E21">
        <v>140</v>
      </c>
      <c r="F21">
        <v>130</v>
      </c>
      <c r="H21">
        <v>950</v>
      </c>
      <c r="I21">
        <v>852</v>
      </c>
      <c r="K21">
        <v>968</v>
      </c>
      <c r="L21">
        <v>948</v>
      </c>
      <c r="M21">
        <v>944</v>
      </c>
      <c r="N21">
        <v>958</v>
      </c>
      <c r="O21">
        <v>864</v>
      </c>
      <c r="P21">
        <v>824</v>
      </c>
      <c r="Q21">
        <v>844</v>
      </c>
      <c r="R21">
        <v>904</v>
      </c>
      <c r="S21">
        <v>864</v>
      </c>
      <c r="T21">
        <v>764</v>
      </c>
      <c r="U21">
        <v>624</v>
      </c>
      <c r="V21">
        <v>1898</v>
      </c>
      <c r="W21">
        <v>47000</v>
      </c>
      <c r="X21">
        <v>12</v>
      </c>
      <c r="Y21">
        <v>6</v>
      </c>
      <c r="Z21">
        <v>0</v>
      </c>
      <c r="AA21" t="b">
        <v>0</v>
      </c>
      <c r="AB21">
        <v>135</v>
      </c>
      <c r="AC21">
        <v>128</v>
      </c>
      <c r="AD21" t="s">
        <v>34</v>
      </c>
    </row>
    <row r="22" spans="1:30" x14ac:dyDescent="0.25">
      <c r="A22" t="s">
        <v>64</v>
      </c>
      <c r="B22" t="s">
        <v>63</v>
      </c>
      <c r="C22" t="s">
        <v>47</v>
      </c>
      <c r="D22" t="s">
        <v>38</v>
      </c>
      <c r="E22">
        <v>200</v>
      </c>
      <c r="F22">
        <v>120</v>
      </c>
      <c r="H22">
        <v>934</v>
      </c>
      <c r="I22">
        <v>862</v>
      </c>
      <c r="K22">
        <v>962</v>
      </c>
      <c r="L22">
        <v>974</v>
      </c>
      <c r="M22">
        <v>968</v>
      </c>
      <c r="N22">
        <v>968</v>
      </c>
      <c r="O22">
        <v>824</v>
      </c>
      <c r="P22">
        <v>744</v>
      </c>
      <c r="Q22">
        <v>854</v>
      </c>
      <c r="R22">
        <v>894</v>
      </c>
      <c r="S22">
        <v>844</v>
      </c>
      <c r="T22">
        <v>784</v>
      </c>
      <c r="U22">
        <v>628</v>
      </c>
      <c r="V22">
        <v>1911</v>
      </c>
      <c r="W22">
        <v>53000</v>
      </c>
      <c r="X22">
        <v>10</v>
      </c>
      <c r="Y22">
        <v>8</v>
      </c>
      <c r="Z22">
        <v>0</v>
      </c>
      <c r="AA22" t="b">
        <v>0</v>
      </c>
      <c r="AB22">
        <v>160</v>
      </c>
      <c r="AC22">
        <v>115</v>
      </c>
      <c r="AD22" t="s">
        <v>34</v>
      </c>
    </row>
    <row r="23" spans="1:30" x14ac:dyDescent="0.25">
      <c r="A23" t="s">
        <v>65</v>
      </c>
      <c r="B23" t="s">
        <v>31</v>
      </c>
      <c r="C23" t="s">
        <v>32</v>
      </c>
      <c r="D23" t="s">
        <v>38</v>
      </c>
      <c r="E23">
        <v>280</v>
      </c>
      <c r="F23">
        <v>90</v>
      </c>
      <c r="G23">
        <v>50</v>
      </c>
      <c r="H23">
        <v>912</v>
      </c>
      <c r="I23">
        <v>860</v>
      </c>
      <c r="J23">
        <v>752</v>
      </c>
      <c r="K23">
        <v>958</v>
      </c>
      <c r="L23">
        <v>984</v>
      </c>
      <c r="M23">
        <v>974</v>
      </c>
      <c r="N23">
        <v>932</v>
      </c>
      <c r="O23">
        <v>824</v>
      </c>
      <c r="P23">
        <v>884</v>
      </c>
      <c r="Q23">
        <v>834</v>
      </c>
      <c r="R23">
        <v>972</v>
      </c>
      <c r="S23">
        <v>974</v>
      </c>
      <c r="T23">
        <v>724</v>
      </c>
      <c r="U23">
        <v>724</v>
      </c>
      <c r="V23">
        <v>1868</v>
      </c>
      <c r="W23">
        <v>43000</v>
      </c>
      <c r="X23">
        <v>14</v>
      </c>
      <c r="Y23">
        <v>107</v>
      </c>
      <c r="Z23">
        <v>0</v>
      </c>
      <c r="AA23" t="b">
        <v>1</v>
      </c>
      <c r="AB23">
        <v>140</v>
      </c>
      <c r="AC23">
        <v>158</v>
      </c>
      <c r="AD23" t="s">
        <v>34</v>
      </c>
    </row>
    <row r="24" spans="1:30" x14ac:dyDescent="0.25">
      <c r="A24" t="s">
        <v>66</v>
      </c>
      <c r="B24" t="s">
        <v>31</v>
      </c>
      <c r="C24" t="s">
        <v>32</v>
      </c>
      <c r="D24" t="s">
        <v>33</v>
      </c>
      <c r="E24">
        <v>240</v>
      </c>
      <c r="F24">
        <v>210</v>
      </c>
      <c r="H24">
        <v>922</v>
      </c>
      <c r="I24">
        <v>808</v>
      </c>
      <c r="K24">
        <v>948</v>
      </c>
      <c r="L24">
        <v>984</v>
      </c>
      <c r="M24">
        <v>974</v>
      </c>
      <c r="N24">
        <v>938</v>
      </c>
      <c r="O24">
        <v>858</v>
      </c>
      <c r="P24">
        <v>824</v>
      </c>
      <c r="Q24">
        <v>804</v>
      </c>
      <c r="R24">
        <v>884</v>
      </c>
      <c r="S24">
        <v>878</v>
      </c>
      <c r="T24">
        <v>724</v>
      </c>
      <c r="U24">
        <v>658</v>
      </c>
      <c r="V24">
        <v>1876</v>
      </c>
      <c r="W24">
        <v>26000</v>
      </c>
      <c r="X24">
        <v>28</v>
      </c>
      <c r="Y24">
        <v>38</v>
      </c>
      <c r="Z24">
        <v>0</v>
      </c>
      <c r="AA24" t="b">
        <v>0</v>
      </c>
      <c r="AB24">
        <v>225</v>
      </c>
      <c r="AC24">
        <v>150</v>
      </c>
      <c r="AD24" t="s">
        <v>34</v>
      </c>
    </row>
    <row r="25" spans="1:30" x14ac:dyDescent="0.25">
      <c r="A25" t="s">
        <v>67</v>
      </c>
      <c r="B25" t="s">
        <v>60</v>
      </c>
      <c r="C25" t="s">
        <v>61</v>
      </c>
      <c r="D25" t="s">
        <v>38</v>
      </c>
      <c r="E25">
        <v>250</v>
      </c>
      <c r="F25">
        <v>430</v>
      </c>
      <c r="H25">
        <v>920</v>
      </c>
      <c r="I25">
        <v>716</v>
      </c>
      <c r="K25">
        <v>952</v>
      </c>
      <c r="L25">
        <v>958</v>
      </c>
      <c r="M25">
        <v>964</v>
      </c>
      <c r="N25">
        <v>948</v>
      </c>
      <c r="O25">
        <v>1000</v>
      </c>
      <c r="P25">
        <v>1000</v>
      </c>
      <c r="Q25">
        <v>684</v>
      </c>
      <c r="R25">
        <v>678</v>
      </c>
      <c r="S25">
        <v>614</v>
      </c>
      <c r="T25">
        <v>634</v>
      </c>
      <c r="U25">
        <v>708</v>
      </c>
      <c r="V25">
        <v>1850</v>
      </c>
      <c r="W25">
        <v>73000</v>
      </c>
      <c r="X25">
        <v>45</v>
      </c>
      <c r="Y25">
        <v>5</v>
      </c>
      <c r="Z25">
        <v>0</v>
      </c>
      <c r="AA25" t="b">
        <v>0</v>
      </c>
      <c r="AB25">
        <v>340</v>
      </c>
      <c r="AC25">
        <v>176</v>
      </c>
      <c r="AD25" t="s">
        <v>34</v>
      </c>
    </row>
    <row r="26" spans="1:30" x14ac:dyDescent="0.25">
      <c r="A26" t="s">
        <v>68</v>
      </c>
      <c r="B26" t="s">
        <v>31</v>
      </c>
      <c r="C26" t="s">
        <v>32</v>
      </c>
      <c r="D26" t="s">
        <v>33</v>
      </c>
      <c r="E26">
        <v>260</v>
      </c>
      <c r="F26">
        <v>220</v>
      </c>
      <c r="H26">
        <v>918</v>
      </c>
      <c r="I26">
        <v>804</v>
      </c>
      <c r="K26">
        <v>952</v>
      </c>
      <c r="L26">
        <v>978</v>
      </c>
      <c r="M26">
        <v>974</v>
      </c>
      <c r="N26">
        <v>928</v>
      </c>
      <c r="O26">
        <v>824</v>
      </c>
      <c r="P26">
        <v>784</v>
      </c>
      <c r="Q26">
        <v>788</v>
      </c>
      <c r="R26">
        <v>884</v>
      </c>
      <c r="S26">
        <v>868</v>
      </c>
      <c r="T26">
        <v>704</v>
      </c>
      <c r="U26">
        <v>624</v>
      </c>
      <c r="V26">
        <v>1838</v>
      </c>
      <c r="W26">
        <v>17000</v>
      </c>
      <c r="X26">
        <v>27</v>
      </c>
      <c r="Y26">
        <v>13</v>
      </c>
      <c r="Z26">
        <v>0</v>
      </c>
      <c r="AA26" t="b">
        <v>0</v>
      </c>
      <c r="AB26">
        <v>240</v>
      </c>
      <c r="AC26">
        <v>188</v>
      </c>
      <c r="AD26" t="s">
        <v>34</v>
      </c>
    </row>
    <row r="27" spans="1:30" x14ac:dyDescent="0.25">
      <c r="A27" t="s">
        <v>69</v>
      </c>
      <c r="B27" t="s">
        <v>70</v>
      </c>
      <c r="C27" t="s">
        <v>32</v>
      </c>
      <c r="D27" t="s">
        <v>38</v>
      </c>
      <c r="E27">
        <v>290</v>
      </c>
      <c r="F27">
        <v>220</v>
      </c>
      <c r="G27">
        <v>240</v>
      </c>
      <c r="H27">
        <v>910</v>
      </c>
      <c r="I27">
        <v>804</v>
      </c>
      <c r="J27">
        <v>538</v>
      </c>
      <c r="K27">
        <v>954</v>
      </c>
      <c r="L27">
        <v>978</v>
      </c>
      <c r="M27">
        <v>954</v>
      </c>
      <c r="N27">
        <v>932</v>
      </c>
      <c r="O27">
        <v>904</v>
      </c>
      <c r="P27">
        <v>884</v>
      </c>
      <c r="Q27">
        <v>794</v>
      </c>
      <c r="R27">
        <v>878</v>
      </c>
      <c r="S27">
        <v>854</v>
      </c>
      <c r="T27">
        <v>704</v>
      </c>
      <c r="U27">
        <v>744</v>
      </c>
      <c r="V27">
        <v>1827</v>
      </c>
      <c r="W27">
        <v>97000</v>
      </c>
      <c r="X27">
        <v>27</v>
      </c>
      <c r="Y27">
        <v>10</v>
      </c>
      <c r="Z27">
        <v>0</v>
      </c>
      <c r="AA27" t="b">
        <v>1</v>
      </c>
      <c r="AB27">
        <v>250</v>
      </c>
      <c r="AC27">
        <v>199</v>
      </c>
      <c r="AD27" t="s">
        <v>34</v>
      </c>
    </row>
    <row r="28" spans="1:30" x14ac:dyDescent="0.25">
      <c r="A28" t="s">
        <v>71</v>
      </c>
      <c r="B28" t="s">
        <v>31</v>
      </c>
      <c r="C28" t="s">
        <v>32</v>
      </c>
      <c r="D28" t="s">
        <v>38</v>
      </c>
      <c r="E28">
        <v>230</v>
      </c>
      <c r="F28">
        <v>220</v>
      </c>
      <c r="G28">
        <v>210</v>
      </c>
      <c r="H28">
        <v>924</v>
      </c>
      <c r="I28">
        <v>804</v>
      </c>
      <c r="J28">
        <v>564</v>
      </c>
      <c r="K28">
        <v>958</v>
      </c>
      <c r="L28">
        <v>972</v>
      </c>
      <c r="M28">
        <v>964</v>
      </c>
      <c r="N28">
        <v>938</v>
      </c>
      <c r="O28">
        <v>838</v>
      </c>
      <c r="P28">
        <v>824</v>
      </c>
      <c r="Q28">
        <v>788</v>
      </c>
      <c r="R28">
        <v>868</v>
      </c>
      <c r="S28">
        <v>872</v>
      </c>
      <c r="T28">
        <v>684</v>
      </c>
      <c r="U28">
        <v>644</v>
      </c>
      <c r="V28">
        <v>1817</v>
      </c>
      <c r="W28">
        <v>47000</v>
      </c>
      <c r="X28">
        <v>17</v>
      </c>
      <c r="Y28">
        <v>26</v>
      </c>
      <c r="Z28">
        <v>1</v>
      </c>
      <c r="AA28" t="b">
        <v>1</v>
      </c>
      <c r="AB28">
        <v>220</v>
      </c>
      <c r="AC28">
        <v>209</v>
      </c>
      <c r="AD28" t="s">
        <v>34</v>
      </c>
    </row>
    <row r="29" spans="1:30" x14ac:dyDescent="0.25">
      <c r="A29" t="s">
        <v>72</v>
      </c>
      <c r="B29" t="s">
        <v>36</v>
      </c>
      <c r="C29" t="s">
        <v>37</v>
      </c>
      <c r="D29" t="s">
        <v>38</v>
      </c>
      <c r="E29">
        <v>310</v>
      </c>
      <c r="F29">
        <v>440</v>
      </c>
      <c r="H29">
        <v>906</v>
      </c>
      <c r="I29">
        <v>714</v>
      </c>
      <c r="K29">
        <v>934</v>
      </c>
      <c r="L29">
        <v>954</v>
      </c>
      <c r="M29">
        <v>964</v>
      </c>
      <c r="N29">
        <v>908</v>
      </c>
      <c r="O29">
        <v>1000</v>
      </c>
      <c r="P29">
        <v>1000</v>
      </c>
      <c r="Q29">
        <v>678</v>
      </c>
      <c r="R29">
        <v>664</v>
      </c>
      <c r="S29">
        <v>614</v>
      </c>
      <c r="T29">
        <v>634</v>
      </c>
      <c r="U29">
        <v>738</v>
      </c>
      <c r="V29">
        <v>1829</v>
      </c>
      <c r="W29">
        <v>33000</v>
      </c>
      <c r="X29">
        <v>50</v>
      </c>
      <c r="Y29">
        <v>12</v>
      </c>
      <c r="Z29">
        <v>0</v>
      </c>
      <c r="AA29" t="b">
        <v>0</v>
      </c>
      <c r="AB29">
        <v>375</v>
      </c>
      <c r="AC29">
        <v>197</v>
      </c>
      <c r="AD29" t="s">
        <v>34</v>
      </c>
    </row>
    <row r="30" spans="1:30" x14ac:dyDescent="0.25">
      <c r="A30" t="s">
        <v>73</v>
      </c>
      <c r="B30" t="s">
        <v>36</v>
      </c>
      <c r="C30" t="s">
        <v>37</v>
      </c>
      <c r="D30" t="s">
        <v>38</v>
      </c>
      <c r="E30">
        <v>350</v>
      </c>
      <c r="F30">
        <v>630</v>
      </c>
      <c r="H30">
        <v>896</v>
      </c>
      <c r="I30">
        <v>684</v>
      </c>
      <c r="K30">
        <v>932</v>
      </c>
      <c r="L30">
        <v>938</v>
      </c>
      <c r="M30">
        <v>928</v>
      </c>
      <c r="N30">
        <v>884</v>
      </c>
      <c r="O30">
        <v>1000</v>
      </c>
      <c r="P30">
        <v>984</v>
      </c>
      <c r="Q30">
        <v>614</v>
      </c>
      <c r="R30">
        <v>608</v>
      </c>
      <c r="S30">
        <v>554</v>
      </c>
      <c r="T30">
        <v>564</v>
      </c>
      <c r="U30">
        <v>728</v>
      </c>
      <c r="V30">
        <v>1824</v>
      </c>
      <c r="W30">
        <v>40000</v>
      </c>
      <c r="X30">
        <v>44</v>
      </c>
      <c r="Y30">
        <v>25</v>
      </c>
      <c r="Z30">
        <v>0</v>
      </c>
      <c r="AA30" t="b">
        <v>0</v>
      </c>
      <c r="AB30">
        <v>490</v>
      </c>
      <c r="AC30">
        <v>202</v>
      </c>
      <c r="AD30" t="s">
        <v>34</v>
      </c>
    </row>
    <row r="31" spans="1:30" x14ac:dyDescent="0.25">
      <c r="A31" t="s">
        <v>74</v>
      </c>
      <c r="B31" t="s">
        <v>70</v>
      </c>
      <c r="C31" t="s">
        <v>32</v>
      </c>
      <c r="D31" t="s">
        <v>38</v>
      </c>
      <c r="E31">
        <v>320</v>
      </c>
      <c r="F31">
        <v>440</v>
      </c>
      <c r="H31">
        <v>904</v>
      </c>
      <c r="I31">
        <v>714</v>
      </c>
      <c r="K31">
        <v>942</v>
      </c>
      <c r="L31">
        <v>958</v>
      </c>
      <c r="M31">
        <v>958</v>
      </c>
      <c r="N31">
        <v>908</v>
      </c>
      <c r="O31">
        <v>968</v>
      </c>
      <c r="P31">
        <v>924</v>
      </c>
      <c r="Q31">
        <v>684</v>
      </c>
      <c r="R31">
        <v>674</v>
      </c>
      <c r="S31">
        <v>624</v>
      </c>
      <c r="T31">
        <v>624</v>
      </c>
      <c r="U31">
        <v>718</v>
      </c>
      <c r="V31">
        <v>1821</v>
      </c>
      <c r="W31">
        <v>40000</v>
      </c>
      <c r="X31">
        <v>27</v>
      </c>
      <c r="Y31">
        <v>14</v>
      </c>
      <c r="Z31">
        <v>0</v>
      </c>
      <c r="AA31" t="b">
        <v>0</v>
      </c>
      <c r="AB31">
        <v>380</v>
      </c>
      <c r="AC31">
        <v>205</v>
      </c>
      <c r="AD31" t="s">
        <v>34</v>
      </c>
    </row>
    <row r="32" spans="1:30" x14ac:dyDescent="0.25">
      <c r="A32" t="s">
        <v>75</v>
      </c>
      <c r="B32" t="s">
        <v>76</v>
      </c>
      <c r="C32" t="s">
        <v>47</v>
      </c>
      <c r="D32" t="s">
        <v>38</v>
      </c>
      <c r="E32">
        <v>310</v>
      </c>
      <c r="F32">
        <v>620</v>
      </c>
      <c r="H32">
        <v>906</v>
      </c>
      <c r="I32">
        <v>686</v>
      </c>
      <c r="K32">
        <v>928</v>
      </c>
      <c r="L32">
        <v>948</v>
      </c>
      <c r="M32">
        <v>954</v>
      </c>
      <c r="N32">
        <v>924</v>
      </c>
      <c r="O32">
        <v>842</v>
      </c>
      <c r="P32">
        <v>804</v>
      </c>
      <c r="Q32">
        <v>624</v>
      </c>
      <c r="R32">
        <v>618</v>
      </c>
      <c r="S32">
        <v>564</v>
      </c>
      <c r="T32">
        <v>594</v>
      </c>
      <c r="U32">
        <v>608</v>
      </c>
      <c r="V32">
        <v>1946</v>
      </c>
      <c r="W32">
        <v>28000</v>
      </c>
      <c r="X32">
        <v>4</v>
      </c>
      <c r="Y32">
        <v>0</v>
      </c>
      <c r="Z32">
        <v>0</v>
      </c>
      <c r="AA32" t="b">
        <v>0</v>
      </c>
      <c r="AB32">
        <v>465</v>
      </c>
      <c r="AC32">
        <v>80</v>
      </c>
      <c r="AD32" t="s">
        <v>34</v>
      </c>
    </row>
    <row r="33" spans="1:30" x14ac:dyDescent="0.25">
      <c r="A33" t="s">
        <v>77</v>
      </c>
      <c r="B33" t="s">
        <v>63</v>
      </c>
      <c r="C33" t="s">
        <v>47</v>
      </c>
      <c r="D33" t="s">
        <v>38</v>
      </c>
      <c r="E33">
        <v>300</v>
      </c>
      <c r="F33">
        <v>440</v>
      </c>
      <c r="H33">
        <v>908</v>
      </c>
      <c r="I33">
        <v>714</v>
      </c>
      <c r="K33">
        <v>924</v>
      </c>
      <c r="L33">
        <v>938</v>
      </c>
      <c r="M33">
        <v>934</v>
      </c>
      <c r="N33">
        <v>934</v>
      </c>
      <c r="O33">
        <v>828</v>
      </c>
      <c r="P33">
        <v>764</v>
      </c>
      <c r="Q33">
        <v>684</v>
      </c>
      <c r="R33">
        <v>688</v>
      </c>
      <c r="S33">
        <v>634</v>
      </c>
      <c r="T33">
        <v>654</v>
      </c>
      <c r="U33">
        <v>618</v>
      </c>
      <c r="V33">
        <v>1905</v>
      </c>
      <c r="W33">
        <v>45000</v>
      </c>
      <c r="X33">
        <v>10</v>
      </c>
      <c r="Y33">
        <v>0</v>
      </c>
      <c r="Z33">
        <v>0</v>
      </c>
      <c r="AA33" t="b">
        <v>0</v>
      </c>
      <c r="AB33">
        <v>370</v>
      </c>
      <c r="AC33">
        <v>121</v>
      </c>
      <c r="AD33" t="s">
        <v>34</v>
      </c>
    </row>
    <row r="34" spans="1:30" x14ac:dyDescent="0.25">
      <c r="A34" t="s">
        <v>78</v>
      </c>
      <c r="B34" t="s">
        <v>79</v>
      </c>
      <c r="C34" t="s">
        <v>47</v>
      </c>
      <c r="D34" t="s">
        <v>38</v>
      </c>
      <c r="E34">
        <v>280</v>
      </c>
      <c r="F34">
        <v>260</v>
      </c>
      <c r="H34">
        <v>912</v>
      </c>
      <c r="I34">
        <v>798</v>
      </c>
      <c r="K34">
        <v>944</v>
      </c>
      <c r="L34">
        <v>904</v>
      </c>
      <c r="M34">
        <v>898</v>
      </c>
      <c r="N34">
        <v>944</v>
      </c>
      <c r="O34">
        <v>788</v>
      </c>
      <c r="P34">
        <v>724</v>
      </c>
      <c r="Q34">
        <v>794</v>
      </c>
      <c r="R34">
        <v>838</v>
      </c>
      <c r="S34">
        <v>824</v>
      </c>
      <c r="T34">
        <v>724</v>
      </c>
      <c r="U34">
        <v>604</v>
      </c>
      <c r="V34">
        <v>1877</v>
      </c>
      <c r="W34">
        <v>28000</v>
      </c>
      <c r="X34">
        <v>12</v>
      </c>
      <c r="Y34">
        <v>11</v>
      </c>
      <c r="Z34">
        <v>3</v>
      </c>
      <c r="AA34" t="b">
        <v>0</v>
      </c>
      <c r="AB34">
        <v>270</v>
      </c>
      <c r="AC34">
        <v>149</v>
      </c>
      <c r="AD34" t="s">
        <v>34</v>
      </c>
    </row>
    <row r="35" spans="1:30" x14ac:dyDescent="0.25">
      <c r="A35" t="s">
        <v>80</v>
      </c>
      <c r="B35" t="s">
        <v>36</v>
      </c>
      <c r="C35" t="s">
        <v>37</v>
      </c>
      <c r="D35" t="s">
        <v>38</v>
      </c>
      <c r="E35">
        <v>270</v>
      </c>
      <c r="F35">
        <v>300</v>
      </c>
      <c r="H35">
        <v>914</v>
      </c>
      <c r="I35">
        <v>784</v>
      </c>
      <c r="K35">
        <v>942</v>
      </c>
      <c r="L35">
        <v>948</v>
      </c>
      <c r="M35">
        <v>948</v>
      </c>
      <c r="N35">
        <v>918</v>
      </c>
      <c r="O35">
        <v>1000</v>
      </c>
      <c r="P35">
        <v>984</v>
      </c>
      <c r="Q35">
        <v>724</v>
      </c>
      <c r="R35">
        <v>742</v>
      </c>
      <c r="S35">
        <v>664</v>
      </c>
      <c r="T35">
        <v>624</v>
      </c>
      <c r="U35">
        <v>748</v>
      </c>
      <c r="V35">
        <v>1583</v>
      </c>
      <c r="W35">
        <v>38000</v>
      </c>
      <c r="X35">
        <v>44</v>
      </c>
      <c r="Y35">
        <v>20</v>
      </c>
      <c r="Z35">
        <v>0</v>
      </c>
      <c r="AA35" t="b">
        <v>0</v>
      </c>
      <c r="AB35">
        <v>285</v>
      </c>
      <c r="AC35">
        <v>443</v>
      </c>
      <c r="AD35" t="s">
        <v>34</v>
      </c>
    </row>
    <row r="36" spans="1:30" x14ac:dyDescent="0.25">
      <c r="A36" t="s">
        <v>81</v>
      </c>
      <c r="B36" t="s">
        <v>53</v>
      </c>
      <c r="C36" t="s">
        <v>47</v>
      </c>
      <c r="D36" t="s">
        <v>38</v>
      </c>
      <c r="E36">
        <v>360</v>
      </c>
      <c r="F36">
        <v>470</v>
      </c>
      <c r="H36">
        <v>894</v>
      </c>
      <c r="I36">
        <v>708</v>
      </c>
      <c r="K36">
        <v>914</v>
      </c>
      <c r="L36">
        <v>934</v>
      </c>
      <c r="M36">
        <v>938</v>
      </c>
      <c r="N36">
        <v>914</v>
      </c>
      <c r="O36">
        <v>1000</v>
      </c>
      <c r="P36">
        <v>1000</v>
      </c>
      <c r="Q36">
        <v>664</v>
      </c>
      <c r="R36">
        <v>652</v>
      </c>
      <c r="S36">
        <v>594</v>
      </c>
      <c r="T36">
        <v>604</v>
      </c>
      <c r="U36">
        <v>904</v>
      </c>
      <c r="V36">
        <v>1963</v>
      </c>
      <c r="W36">
        <v>20000</v>
      </c>
      <c r="X36">
        <v>38</v>
      </c>
      <c r="Y36">
        <v>0</v>
      </c>
      <c r="Z36">
        <v>0</v>
      </c>
      <c r="AA36" t="b">
        <v>0</v>
      </c>
      <c r="AB36">
        <v>415</v>
      </c>
      <c r="AC36">
        <v>63</v>
      </c>
      <c r="AD36" t="s">
        <v>34</v>
      </c>
    </row>
    <row r="37" spans="1:30" x14ac:dyDescent="0.25">
      <c r="A37" t="s">
        <v>82</v>
      </c>
      <c r="B37" t="s">
        <v>31</v>
      </c>
      <c r="C37" t="s">
        <v>32</v>
      </c>
      <c r="D37" t="s">
        <v>38</v>
      </c>
      <c r="E37">
        <v>400</v>
      </c>
      <c r="F37">
        <v>220</v>
      </c>
      <c r="H37">
        <v>886</v>
      </c>
      <c r="I37">
        <v>804</v>
      </c>
      <c r="K37">
        <v>934</v>
      </c>
      <c r="L37">
        <v>972</v>
      </c>
      <c r="M37">
        <v>958</v>
      </c>
      <c r="N37">
        <v>918</v>
      </c>
      <c r="O37">
        <v>798</v>
      </c>
      <c r="P37">
        <v>764</v>
      </c>
      <c r="Q37">
        <v>794</v>
      </c>
      <c r="R37">
        <v>848</v>
      </c>
      <c r="S37">
        <v>854</v>
      </c>
      <c r="T37">
        <v>684</v>
      </c>
      <c r="U37">
        <v>628</v>
      </c>
      <c r="V37">
        <v>1919</v>
      </c>
      <c r="W37">
        <v>46000</v>
      </c>
      <c r="X37">
        <v>14</v>
      </c>
      <c r="Y37">
        <v>17</v>
      </c>
      <c r="Z37">
        <v>0</v>
      </c>
      <c r="AA37" t="b">
        <v>0</v>
      </c>
      <c r="AB37">
        <v>310</v>
      </c>
      <c r="AC37">
        <v>107</v>
      </c>
      <c r="AD37" t="s">
        <v>34</v>
      </c>
    </row>
    <row r="38" spans="1:30" x14ac:dyDescent="0.25">
      <c r="A38" t="s">
        <v>83</v>
      </c>
      <c r="B38" t="s">
        <v>60</v>
      </c>
      <c r="C38" t="s">
        <v>61</v>
      </c>
      <c r="D38" t="s">
        <v>38</v>
      </c>
      <c r="E38">
        <v>190</v>
      </c>
      <c r="F38">
        <v>670</v>
      </c>
      <c r="H38">
        <v>938</v>
      </c>
      <c r="I38">
        <v>674</v>
      </c>
      <c r="K38">
        <v>934</v>
      </c>
      <c r="L38">
        <v>958</v>
      </c>
      <c r="M38">
        <v>954</v>
      </c>
      <c r="N38">
        <v>934</v>
      </c>
      <c r="O38">
        <v>1000</v>
      </c>
      <c r="P38">
        <v>1000</v>
      </c>
      <c r="Q38">
        <v>614</v>
      </c>
      <c r="R38">
        <v>598</v>
      </c>
      <c r="S38">
        <v>544</v>
      </c>
      <c r="T38">
        <v>554</v>
      </c>
      <c r="U38">
        <v>718</v>
      </c>
      <c r="V38">
        <v>1949</v>
      </c>
      <c r="W38">
        <v>65000</v>
      </c>
      <c r="X38">
        <v>46</v>
      </c>
      <c r="Y38">
        <v>4</v>
      </c>
      <c r="Z38">
        <v>0</v>
      </c>
      <c r="AA38" t="b">
        <v>0</v>
      </c>
      <c r="AB38">
        <v>430</v>
      </c>
      <c r="AC38">
        <v>77</v>
      </c>
      <c r="AD38" t="s">
        <v>34</v>
      </c>
    </row>
    <row r="39" spans="1:30" x14ac:dyDescent="0.25">
      <c r="A39" t="s">
        <v>84</v>
      </c>
      <c r="B39" t="s">
        <v>85</v>
      </c>
      <c r="C39" t="s">
        <v>37</v>
      </c>
      <c r="D39" t="s">
        <v>38</v>
      </c>
      <c r="F39">
        <v>170</v>
      </c>
      <c r="G39">
        <v>130</v>
      </c>
      <c r="I39">
        <v>834</v>
      </c>
      <c r="J39">
        <v>622</v>
      </c>
      <c r="Q39">
        <v>798</v>
      </c>
      <c r="R39">
        <v>858</v>
      </c>
      <c r="S39">
        <v>864</v>
      </c>
      <c r="T39">
        <v>688</v>
      </c>
      <c r="U39">
        <v>564</v>
      </c>
      <c r="V39">
        <v>2015</v>
      </c>
      <c r="W39">
        <v>48000</v>
      </c>
      <c r="X39">
        <v>20</v>
      </c>
      <c r="Y39">
        <v>22</v>
      </c>
      <c r="Z39">
        <v>4</v>
      </c>
      <c r="AA39" t="b">
        <v>0</v>
      </c>
      <c r="AB39">
        <v>150</v>
      </c>
      <c r="AC39">
        <v>11</v>
      </c>
      <c r="AD39" t="s">
        <v>34</v>
      </c>
    </row>
    <row r="40" spans="1:30" x14ac:dyDescent="0.25">
      <c r="A40" t="s">
        <v>86</v>
      </c>
      <c r="B40" t="s">
        <v>36</v>
      </c>
      <c r="C40" t="s">
        <v>37</v>
      </c>
      <c r="D40" t="s">
        <v>38</v>
      </c>
      <c r="E40">
        <v>560</v>
      </c>
      <c r="F40">
        <v>520</v>
      </c>
      <c r="H40">
        <v>864</v>
      </c>
      <c r="I40">
        <v>702</v>
      </c>
      <c r="K40">
        <v>934</v>
      </c>
      <c r="L40">
        <v>978</v>
      </c>
      <c r="M40">
        <v>974</v>
      </c>
      <c r="N40">
        <v>854</v>
      </c>
      <c r="O40">
        <v>1000</v>
      </c>
      <c r="P40">
        <v>1000</v>
      </c>
      <c r="Q40">
        <v>674</v>
      </c>
      <c r="R40">
        <v>618</v>
      </c>
      <c r="S40">
        <v>554</v>
      </c>
      <c r="T40">
        <v>574</v>
      </c>
      <c r="U40">
        <v>758</v>
      </c>
      <c r="V40">
        <v>1895</v>
      </c>
      <c r="W40">
        <v>12000</v>
      </c>
      <c r="X40">
        <v>72</v>
      </c>
      <c r="Y40">
        <v>18</v>
      </c>
      <c r="Z40">
        <v>0</v>
      </c>
      <c r="AA40" t="b">
        <v>0</v>
      </c>
      <c r="AB40">
        <v>540</v>
      </c>
      <c r="AC40">
        <v>131</v>
      </c>
      <c r="AD40" t="s">
        <v>34</v>
      </c>
    </row>
    <row r="41" spans="1:30" x14ac:dyDescent="0.25">
      <c r="A41" t="s">
        <v>87</v>
      </c>
      <c r="B41" t="s">
        <v>79</v>
      </c>
      <c r="C41" t="s">
        <v>47</v>
      </c>
      <c r="D41" t="s">
        <v>38</v>
      </c>
      <c r="E41">
        <v>510</v>
      </c>
      <c r="F41">
        <v>380</v>
      </c>
      <c r="H41">
        <v>872</v>
      </c>
      <c r="I41">
        <v>748</v>
      </c>
      <c r="K41">
        <v>904</v>
      </c>
      <c r="L41">
        <v>854</v>
      </c>
      <c r="M41">
        <v>838</v>
      </c>
      <c r="N41">
        <v>914</v>
      </c>
      <c r="O41">
        <v>754</v>
      </c>
      <c r="P41">
        <v>684</v>
      </c>
      <c r="Q41">
        <v>734</v>
      </c>
      <c r="R41">
        <v>778</v>
      </c>
      <c r="S41">
        <v>764</v>
      </c>
      <c r="T41">
        <v>664</v>
      </c>
      <c r="U41">
        <v>594</v>
      </c>
      <c r="V41">
        <v>1897</v>
      </c>
      <c r="W41">
        <v>23000</v>
      </c>
      <c r="X41">
        <v>13</v>
      </c>
      <c r="Y41">
        <v>11</v>
      </c>
      <c r="Z41">
        <v>3</v>
      </c>
      <c r="AA41" t="b">
        <v>0</v>
      </c>
      <c r="AB41">
        <v>445</v>
      </c>
      <c r="AC41">
        <v>129</v>
      </c>
      <c r="AD41" t="s">
        <v>34</v>
      </c>
    </row>
    <row r="42" spans="1:30" x14ac:dyDescent="0.25">
      <c r="A42" t="s">
        <v>88</v>
      </c>
      <c r="B42" t="s">
        <v>89</v>
      </c>
      <c r="C42" t="s">
        <v>37</v>
      </c>
      <c r="D42" t="s">
        <v>38</v>
      </c>
      <c r="E42">
        <v>550</v>
      </c>
      <c r="F42">
        <v>610</v>
      </c>
      <c r="H42">
        <v>866</v>
      </c>
      <c r="I42">
        <v>688</v>
      </c>
      <c r="K42">
        <v>908</v>
      </c>
      <c r="L42">
        <v>914</v>
      </c>
      <c r="M42">
        <v>912</v>
      </c>
      <c r="N42">
        <v>888</v>
      </c>
      <c r="O42">
        <v>1000</v>
      </c>
      <c r="P42">
        <v>1000</v>
      </c>
      <c r="Q42">
        <v>644</v>
      </c>
      <c r="R42">
        <v>638</v>
      </c>
      <c r="S42">
        <v>584</v>
      </c>
      <c r="T42">
        <v>604</v>
      </c>
      <c r="U42">
        <v>844</v>
      </c>
      <c r="V42">
        <v>1632</v>
      </c>
      <c r="W42">
        <v>39000</v>
      </c>
      <c r="X42">
        <v>31</v>
      </c>
      <c r="Y42">
        <v>16</v>
      </c>
      <c r="Z42">
        <v>0</v>
      </c>
      <c r="AA42" t="b">
        <v>0</v>
      </c>
      <c r="AB42">
        <v>580</v>
      </c>
      <c r="AC42">
        <v>394</v>
      </c>
      <c r="AD42" t="s">
        <v>34</v>
      </c>
    </row>
    <row r="43" spans="1:30" x14ac:dyDescent="0.25">
      <c r="A43" t="s">
        <v>90</v>
      </c>
      <c r="B43" t="s">
        <v>76</v>
      </c>
      <c r="C43" t="s">
        <v>47</v>
      </c>
      <c r="D43" t="s">
        <v>38</v>
      </c>
      <c r="E43">
        <v>830</v>
      </c>
      <c r="F43">
        <v>1340</v>
      </c>
      <c r="H43">
        <v>844</v>
      </c>
      <c r="I43">
        <v>604</v>
      </c>
      <c r="K43">
        <v>884</v>
      </c>
      <c r="L43">
        <v>904</v>
      </c>
      <c r="M43">
        <v>908</v>
      </c>
      <c r="N43">
        <v>884</v>
      </c>
      <c r="O43">
        <v>804</v>
      </c>
      <c r="P43">
        <v>744</v>
      </c>
      <c r="Q43">
        <v>534</v>
      </c>
      <c r="R43">
        <v>508</v>
      </c>
      <c r="S43">
        <v>474</v>
      </c>
      <c r="T43">
        <v>494</v>
      </c>
      <c r="U43">
        <v>684</v>
      </c>
      <c r="V43">
        <v>1971</v>
      </c>
      <c r="W43">
        <v>22000</v>
      </c>
      <c r="X43">
        <v>15</v>
      </c>
      <c r="Y43">
        <v>0</v>
      </c>
      <c r="Z43">
        <v>0</v>
      </c>
      <c r="AA43" t="b">
        <v>0</v>
      </c>
      <c r="AB43">
        <v>1085</v>
      </c>
      <c r="AC43">
        <v>55</v>
      </c>
      <c r="AD43" t="s">
        <v>34</v>
      </c>
    </row>
    <row r="44" spans="1:30" x14ac:dyDescent="0.25">
      <c r="A44" t="s">
        <v>91</v>
      </c>
      <c r="B44" t="s">
        <v>60</v>
      </c>
      <c r="C44" t="s">
        <v>61</v>
      </c>
      <c r="D44" t="s">
        <v>38</v>
      </c>
      <c r="E44">
        <v>300</v>
      </c>
      <c r="F44">
        <v>780</v>
      </c>
      <c r="H44">
        <v>908</v>
      </c>
      <c r="I44">
        <v>664</v>
      </c>
      <c r="K44">
        <v>932</v>
      </c>
      <c r="L44">
        <v>938</v>
      </c>
      <c r="M44">
        <v>938</v>
      </c>
      <c r="N44">
        <v>914</v>
      </c>
      <c r="O44">
        <v>1000</v>
      </c>
      <c r="P44">
        <v>1000</v>
      </c>
      <c r="Q44">
        <v>594</v>
      </c>
      <c r="R44">
        <v>578</v>
      </c>
      <c r="S44">
        <v>524</v>
      </c>
      <c r="T44">
        <v>544</v>
      </c>
      <c r="U44">
        <v>724</v>
      </c>
      <c r="V44">
        <v>1946</v>
      </c>
      <c r="W44">
        <v>24000</v>
      </c>
      <c r="X44">
        <v>40</v>
      </c>
      <c r="Y44">
        <v>6</v>
      </c>
      <c r="Z44">
        <v>0</v>
      </c>
      <c r="AA44" t="b">
        <v>0</v>
      </c>
      <c r="AB44">
        <v>540</v>
      </c>
      <c r="AC44">
        <v>80</v>
      </c>
      <c r="AD44" t="s">
        <v>34</v>
      </c>
    </row>
    <row r="45" spans="1:30" x14ac:dyDescent="0.25">
      <c r="A45" t="s">
        <v>92</v>
      </c>
      <c r="B45" t="s">
        <v>31</v>
      </c>
      <c r="C45" t="s">
        <v>32</v>
      </c>
      <c r="D45" t="s">
        <v>33</v>
      </c>
      <c r="E45">
        <v>650</v>
      </c>
      <c r="F45">
        <v>270</v>
      </c>
      <c r="H45">
        <v>858</v>
      </c>
      <c r="I45">
        <v>794</v>
      </c>
      <c r="K45">
        <v>934</v>
      </c>
      <c r="L45">
        <v>984</v>
      </c>
      <c r="M45">
        <v>968</v>
      </c>
      <c r="N45">
        <v>924</v>
      </c>
      <c r="O45">
        <v>784</v>
      </c>
      <c r="P45">
        <v>724</v>
      </c>
      <c r="Q45">
        <v>804</v>
      </c>
      <c r="R45">
        <v>824</v>
      </c>
      <c r="S45">
        <v>868</v>
      </c>
      <c r="T45">
        <v>674</v>
      </c>
      <c r="U45">
        <v>624</v>
      </c>
      <c r="V45">
        <v>1900</v>
      </c>
      <c r="W45">
        <v>15818</v>
      </c>
      <c r="X45">
        <v>50</v>
      </c>
      <c r="Y45">
        <v>21</v>
      </c>
      <c r="Z45">
        <v>1</v>
      </c>
      <c r="AA45" t="b">
        <v>0</v>
      </c>
      <c r="AB45">
        <v>460</v>
      </c>
      <c r="AC45">
        <v>126</v>
      </c>
      <c r="AD45" t="s">
        <v>34</v>
      </c>
    </row>
    <row r="46" spans="1:30" x14ac:dyDescent="0.25">
      <c r="A46" t="s">
        <v>93</v>
      </c>
      <c r="B46" t="s">
        <v>31</v>
      </c>
      <c r="C46" t="s">
        <v>32</v>
      </c>
      <c r="D46" t="s">
        <v>33</v>
      </c>
      <c r="E46">
        <v>380</v>
      </c>
      <c r="F46">
        <v>270</v>
      </c>
      <c r="H46">
        <v>892</v>
      </c>
      <c r="I46">
        <v>794</v>
      </c>
      <c r="K46">
        <v>938</v>
      </c>
      <c r="L46">
        <v>984</v>
      </c>
      <c r="M46">
        <v>968</v>
      </c>
      <c r="N46">
        <v>904</v>
      </c>
      <c r="O46">
        <v>924</v>
      </c>
      <c r="P46">
        <v>984</v>
      </c>
      <c r="Q46">
        <v>784</v>
      </c>
      <c r="R46">
        <v>824</v>
      </c>
      <c r="S46">
        <v>844</v>
      </c>
      <c r="T46">
        <v>684</v>
      </c>
      <c r="U46">
        <v>784</v>
      </c>
      <c r="V46">
        <v>1831</v>
      </c>
      <c r="W46">
        <v>27000</v>
      </c>
      <c r="X46">
        <v>47</v>
      </c>
      <c r="Y46">
        <v>12</v>
      </c>
      <c r="Z46">
        <v>0</v>
      </c>
      <c r="AA46" t="b">
        <v>0</v>
      </c>
      <c r="AB46">
        <v>325</v>
      </c>
      <c r="AC46">
        <v>195</v>
      </c>
      <c r="AD46" t="s">
        <v>34</v>
      </c>
    </row>
    <row r="47" spans="1:30" x14ac:dyDescent="0.25">
      <c r="A47" t="s">
        <v>94</v>
      </c>
      <c r="B47" t="s">
        <v>60</v>
      </c>
      <c r="C47" t="s">
        <v>61</v>
      </c>
      <c r="D47" t="s">
        <v>38</v>
      </c>
      <c r="E47">
        <v>370</v>
      </c>
      <c r="F47">
        <v>880</v>
      </c>
      <c r="H47">
        <v>894</v>
      </c>
      <c r="I47">
        <v>642</v>
      </c>
      <c r="K47">
        <v>924</v>
      </c>
      <c r="L47">
        <v>938</v>
      </c>
      <c r="M47">
        <v>934</v>
      </c>
      <c r="N47">
        <v>912</v>
      </c>
      <c r="O47">
        <v>1000</v>
      </c>
      <c r="P47">
        <v>1000</v>
      </c>
      <c r="Q47">
        <v>574</v>
      </c>
      <c r="R47">
        <v>558</v>
      </c>
      <c r="S47">
        <v>504</v>
      </c>
      <c r="T47">
        <v>524</v>
      </c>
      <c r="U47">
        <v>714</v>
      </c>
      <c r="V47">
        <v>1958</v>
      </c>
      <c r="W47">
        <v>86000</v>
      </c>
      <c r="X47">
        <v>50</v>
      </c>
      <c r="Y47">
        <v>0</v>
      </c>
      <c r="Z47">
        <v>0</v>
      </c>
      <c r="AA47" t="b">
        <v>0</v>
      </c>
      <c r="AB47">
        <v>625</v>
      </c>
      <c r="AC47">
        <v>68</v>
      </c>
      <c r="AD47" t="s">
        <v>34</v>
      </c>
    </row>
    <row r="48" spans="1:30" x14ac:dyDescent="0.25">
      <c r="A48" t="s">
        <v>95</v>
      </c>
      <c r="B48" t="s">
        <v>89</v>
      </c>
      <c r="C48" t="s">
        <v>37</v>
      </c>
      <c r="D48" t="s">
        <v>38</v>
      </c>
      <c r="E48">
        <v>470</v>
      </c>
      <c r="F48">
        <v>510</v>
      </c>
      <c r="H48">
        <v>880</v>
      </c>
      <c r="I48">
        <v>704</v>
      </c>
      <c r="K48">
        <v>904</v>
      </c>
      <c r="L48">
        <v>908</v>
      </c>
      <c r="M48">
        <v>904</v>
      </c>
      <c r="N48">
        <v>904</v>
      </c>
      <c r="O48">
        <v>1000</v>
      </c>
      <c r="P48">
        <v>1000</v>
      </c>
      <c r="Q48">
        <v>664</v>
      </c>
      <c r="R48">
        <v>652</v>
      </c>
      <c r="S48">
        <v>604</v>
      </c>
      <c r="T48">
        <v>624</v>
      </c>
      <c r="U48">
        <v>844</v>
      </c>
      <c r="V48">
        <v>1842</v>
      </c>
      <c r="W48">
        <v>26000</v>
      </c>
      <c r="X48">
        <v>38</v>
      </c>
      <c r="Y48">
        <v>0</v>
      </c>
      <c r="Z48">
        <v>0</v>
      </c>
      <c r="AA48" t="b">
        <v>0</v>
      </c>
      <c r="AB48">
        <v>490</v>
      </c>
      <c r="AC48">
        <v>184</v>
      </c>
      <c r="AD48" t="s">
        <v>34</v>
      </c>
    </row>
    <row r="49" spans="1:30" x14ac:dyDescent="0.25">
      <c r="A49" t="s">
        <v>96</v>
      </c>
      <c r="B49" t="s">
        <v>70</v>
      </c>
      <c r="C49" t="s">
        <v>32</v>
      </c>
      <c r="D49" t="s">
        <v>38</v>
      </c>
      <c r="E49">
        <v>420</v>
      </c>
      <c r="F49">
        <v>410</v>
      </c>
      <c r="H49">
        <v>884</v>
      </c>
      <c r="I49">
        <v>734</v>
      </c>
      <c r="K49">
        <v>934</v>
      </c>
      <c r="L49">
        <v>958</v>
      </c>
      <c r="M49">
        <v>954</v>
      </c>
      <c r="N49">
        <v>912</v>
      </c>
      <c r="O49">
        <v>964</v>
      </c>
      <c r="P49">
        <v>924</v>
      </c>
      <c r="Q49">
        <v>704</v>
      </c>
      <c r="R49">
        <v>708</v>
      </c>
      <c r="S49">
        <v>644</v>
      </c>
      <c r="T49">
        <v>664</v>
      </c>
      <c r="U49">
        <v>738</v>
      </c>
      <c r="V49">
        <v>1908</v>
      </c>
      <c r="W49">
        <v>68000</v>
      </c>
      <c r="X49">
        <v>30</v>
      </c>
      <c r="Y49">
        <v>7</v>
      </c>
      <c r="Z49">
        <v>0</v>
      </c>
      <c r="AA49" t="b">
        <v>0</v>
      </c>
      <c r="AB49">
        <v>415</v>
      </c>
      <c r="AC49">
        <v>118</v>
      </c>
      <c r="AD49" t="s">
        <v>34</v>
      </c>
    </row>
    <row r="50" spans="1:30" x14ac:dyDescent="0.25">
      <c r="A50" t="s">
        <v>97</v>
      </c>
      <c r="B50" t="s">
        <v>98</v>
      </c>
      <c r="C50" t="s">
        <v>37</v>
      </c>
      <c r="D50" t="s">
        <v>38</v>
      </c>
      <c r="E50">
        <v>370</v>
      </c>
      <c r="F50">
        <v>340</v>
      </c>
      <c r="G50">
        <v>450</v>
      </c>
      <c r="H50">
        <v>892</v>
      </c>
      <c r="I50">
        <v>764</v>
      </c>
      <c r="J50">
        <v>448</v>
      </c>
      <c r="K50">
        <v>914</v>
      </c>
      <c r="L50">
        <v>938</v>
      </c>
      <c r="M50">
        <v>934</v>
      </c>
      <c r="N50">
        <v>918</v>
      </c>
      <c r="O50">
        <v>1000</v>
      </c>
      <c r="P50">
        <v>1000</v>
      </c>
      <c r="Q50">
        <v>724</v>
      </c>
      <c r="R50">
        <v>728</v>
      </c>
      <c r="S50">
        <v>664</v>
      </c>
      <c r="T50">
        <v>684</v>
      </c>
      <c r="U50">
        <v>778</v>
      </c>
      <c r="V50">
        <v>1868</v>
      </c>
      <c r="W50">
        <v>50000</v>
      </c>
      <c r="X50">
        <v>29</v>
      </c>
      <c r="Y50">
        <v>4</v>
      </c>
      <c r="Z50">
        <v>0</v>
      </c>
      <c r="AA50" t="b">
        <v>1</v>
      </c>
      <c r="AB50">
        <v>387</v>
      </c>
      <c r="AC50">
        <v>158</v>
      </c>
      <c r="AD50" t="s">
        <v>34</v>
      </c>
    </row>
    <row r="51" spans="1:30" x14ac:dyDescent="0.25">
      <c r="A51" t="s">
        <v>99</v>
      </c>
      <c r="B51" t="s">
        <v>98</v>
      </c>
      <c r="C51" t="s">
        <v>37</v>
      </c>
      <c r="D51" t="s">
        <v>38</v>
      </c>
      <c r="E51">
        <v>540</v>
      </c>
      <c r="F51">
        <v>320</v>
      </c>
      <c r="G51">
        <v>420</v>
      </c>
      <c r="H51">
        <v>868</v>
      </c>
      <c r="I51">
        <v>774</v>
      </c>
      <c r="J51">
        <v>458</v>
      </c>
      <c r="K51">
        <v>898</v>
      </c>
      <c r="L51">
        <v>904</v>
      </c>
      <c r="M51">
        <v>908</v>
      </c>
      <c r="N51">
        <v>884</v>
      </c>
      <c r="O51">
        <v>964</v>
      </c>
      <c r="P51">
        <v>924</v>
      </c>
      <c r="Q51">
        <v>738</v>
      </c>
      <c r="R51">
        <v>754</v>
      </c>
      <c r="S51">
        <v>704</v>
      </c>
      <c r="T51">
        <v>684</v>
      </c>
      <c r="U51">
        <v>728</v>
      </c>
      <c r="V51">
        <v>1472</v>
      </c>
      <c r="W51">
        <v>53000</v>
      </c>
      <c r="X51">
        <v>13</v>
      </c>
      <c r="Y51">
        <v>13</v>
      </c>
      <c r="Z51">
        <v>0</v>
      </c>
      <c r="AA51" t="b">
        <v>1</v>
      </c>
      <c r="AB51">
        <v>427</v>
      </c>
      <c r="AC51">
        <v>554</v>
      </c>
      <c r="AD51" t="s">
        <v>34</v>
      </c>
    </row>
    <row r="52" spans="1:30" x14ac:dyDescent="0.25">
      <c r="A52" t="s">
        <v>100</v>
      </c>
      <c r="B52" t="s">
        <v>101</v>
      </c>
      <c r="C52" t="s">
        <v>102</v>
      </c>
      <c r="D52" t="s">
        <v>38</v>
      </c>
      <c r="E52">
        <v>960</v>
      </c>
      <c r="F52">
        <v>1430</v>
      </c>
      <c r="G52">
        <v>810</v>
      </c>
      <c r="H52">
        <v>834</v>
      </c>
      <c r="I52">
        <v>592</v>
      </c>
      <c r="J52">
        <v>334</v>
      </c>
      <c r="K52">
        <v>874</v>
      </c>
      <c r="L52">
        <v>888</v>
      </c>
      <c r="M52">
        <v>884</v>
      </c>
      <c r="N52">
        <v>874</v>
      </c>
      <c r="O52">
        <v>704</v>
      </c>
      <c r="P52">
        <v>664</v>
      </c>
      <c r="Q52">
        <v>504</v>
      </c>
      <c r="R52">
        <v>498</v>
      </c>
      <c r="S52">
        <v>464</v>
      </c>
      <c r="T52">
        <v>484</v>
      </c>
      <c r="U52">
        <v>444</v>
      </c>
      <c r="V52">
        <v>1934</v>
      </c>
      <c r="W52">
        <v>96000</v>
      </c>
      <c r="X52">
        <v>3</v>
      </c>
      <c r="Y52">
        <v>1</v>
      </c>
      <c r="Z52">
        <v>0</v>
      </c>
      <c r="AA52" t="b">
        <v>1</v>
      </c>
      <c r="AB52">
        <v>1067</v>
      </c>
      <c r="AC52">
        <v>92</v>
      </c>
      <c r="AD52" t="s">
        <v>34</v>
      </c>
    </row>
    <row r="53" spans="1:30" x14ac:dyDescent="0.25">
      <c r="A53" t="s">
        <v>103</v>
      </c>
      <c r="B53" t="s">
        <v>104</v>
      </c>
      <c r="C53" t="s">
        <v>105</v>
      </c>
      <c r="D53" t="s">
        <v>38</v>
      </c>
      <c r="E53">
        <v>1500</v>
      </c>
      <c r="F53">
        <v>1780</v>
      </c>
      <c r="H53">
        <v>784</v>
      </c>
      <c r="I53">
        <v>558</v>
      </c>
      <c r="K53">
        <v>834</v>
      </c>
      <c r="L53">
        <v>848</v>
      </c>
      <c r="M53">
        <v>844</v>
      </c>
      <c r="N53">
        <v>824</v>
      </c>
      <c r="O53">
        <v>884</v>
      </c>
      <c r="P53">
        <v>844</v>
      </c>
      <c r="Q53">
        <v>484</v>
      </c>
      <c r="R53">
        <v>478</v>
      </c>
      <c r="S53">
        <v>434</v>
      </c>
      <c r="T53">
        <v>454</v>
      </c>
      <c r="U53">
        <v>604</v>
      </c>
      <c r="V53">
        <v>1829</v>
      </c>
      <c r="W53">
        <v>29000</v>
      </c>
      <c r="X53">
        <v>36</v>
      </c>
      <c r="Y53">
        <v>0</v>
      </c>
      <c r="Z53">
        <v>0</v>
      </c>
      <c r="AA53" t="b">
        <v>0</v>
      </c>
      <c r="AB53">
        <v>1640</v>
      </c>
      <c r="AC53">
        <v>197</v>
      </c>
      <c r="AD53" t="s">
        <v>34</v>
      </c>
    </row>
    <row r="54" spans="1:30" x14ac:dyDescent="0.25">
      <c r="A54" t="s">
        <v>106</v>
      </c>
      <c r="B54" t="s">
        <v>107</v>
      </c>
      <c r="C54" t="s">
        <v>47</v>
      </c>
      <c r="D54" t="s">
        <v>38</v>
      </c>
      <c r="E54">
        <v>1180</v>
      </c>
      <c r="F54">
        <v>3510</v>
      </c>
      <c r="H54">
        <v>824</v>
      </c>
      <c r="I54">
        <v>464</v>
      </c>
      <c r="K54">
        <v>844</v>
      </c>
      <c r="L54">
        <v>884</v>
      </c>
      <c r="M54">
        <v>888</v>
      </c>
      <c r="N54">
        <v>854</v>
      </c>
      <c r="O54">
        <v>544</v>
      </c>
      <c r="P54">
        <v>524</v>
      </c>
      <c r="Q54">
        <v>374</v>
      </c>
      <c r="R54">
        <v>368</v>
      </c>
      <c r="S54">
        <v>324</v>
      </c>
      <c r="T54">
        <v>344</v>
      </c>
      <c r="U54">
        <v>404</v>
      </c>
      <c r="V54">
        <v>1958</v>
      </c>
      <c r="W54">
        <v>10000</v>
      </c>
      <c r="X54">
        <v>5</v>
      </c>
      <c r="Y54">
        <v>0</v>
      </c>
      <c r="Z54">
        <v>0</v>
      </c>
      <c r="AA54" t="b">
        <v>0</v>
      </c>
      <c r="AB54">
        <v>2345</v>
      </c>
      <c r="AC54">
        <v>68</v>
      </c>
      <c r="AD54" t="s">
        <v>34</v>
      </c>
    </row>
    <row r="55" spans="1:30" x14ac:dyDescent="0.25">
      <c r="A55" t="s">
        <v>108</v>
      </c>
      <c r="B55" t="s">
        <v>109</v>
      </c>
      <c r="C55" t="s">
        <v>110</v>
      </c>
      <c r="D55" t="s">
        <v>38</v>
      </c>
      <c r="E55">
        <v>670</v>
      </c>
      <c r="F55">
        <v>2340</v>
      </c>
      <c r="H55">
        <v>854</v>
      </c>
      <c r="I55">
        <v>514</v>
      </c>
      <c r="K55">
        <v>874</v>
      </c>
      <c r="L55">
        <v>898</v>
      </c>
      <c r="M55">
        <v>894</v>
      </c>
      <c r="N55">
        <v>874</v>
      </c>
      <c r="O55">
        <v>684</v>
      </c>
      <c r="P55">
        <v>624</v>
      </c>
      <c r="Q55">
        <v>394</v>
      </c>
      <c r="R55">
        <v>388</v>
      </c>
      <c r="S55">
        <v>344</v>
      </c>
      <c r="T55">
        <v>364</v>
      </c>
      <c r="U55">
        <v>524</v>
      </c>
      <c r="V55">
        <v>1963</v>
      </c>
      <c r="W55">
        <v>10000</v>
      </c>
      <c r="X55">
        <v>16</v>
      </c>
      <c r="Y55">
        <v>0</v>
      </c>
      <c r="Z55">
        <v>0</v>
      </c>
      <c r="AA55" t="b">
        <v>0</v>
      </c>
      <c r="AB55">
        <v>1505</v>
      </c>
      <c r="AC55">
        <v>63</v>
      </c>
      <c r="AD55" t="s">
        <v>34</v>
      </c>
    </row>
    <row r="56" spans="1:30" x14ac:dyDescent="0.25">
      <c r="A56" t="s">
        <v>111</v>
      </c>
      <c r="B56" t="s">
        <v>112</v>
      </c>
      <c r="C56" t="s">
        <v>37</v>
      </c>
      <c r="D56" t="s">
        <v>38</v>
      </c>
      <c r="E56">
        <v>980</v>
      </c>
      <c r="H56">
        <v>832</v>
      </c>
      <c r="K56">
        <v>874</v>
      </c>
      <c r="L56">
        <v>898</v>
      </c>
      <c r="M56">
        <v>894</v>
      </c>
      <c r="N56">
        <v>874</v>
      </c>
      <c r="O56">
        <v>984</v>
      </c>
      <c r="P56">
        <v>924</v>
      </c>
      <c r="V56">
        <v>1863</v>
      </c>
      <c r="W56">
        <v>47000</v>
      </c>
      <c r="X56">
        <v>21</v>
      </c>
      <c r="Y56">
        <v>0</v>
      </c>
      <c r="Z56">
        <v>0</v>
      </c>
      <c r="AA56" t="b">
        <v>0</v>
      </c>
      <c r="AB56">
        <v>980</v>
      </c>
      <c r="AC56">
        <v>163</v>
      </c>
      <c r="AD56" t="s">
        <v>34</v>
      </c>
    </row>
    <row r="57" spans="1:30" x14ac:dyDescent="0.25">
      <c r="A57" t="s">
        <v>113</v>
      </c>
      <c r="B57" t="s">
        <v>114</v>
      </c>
      <c r="C57" t="s">
        <v>37</v>
      </c>
      <c r="D57" t="s">
        <v>38</v>
      </c>
      <c r="E57">
        <v>2840</v>
      </c>
      <c r="F57">
        <v>2510</v>
      </c>
      <c r="H57">
        <v>724</v>
      </c>
      <c r="I57">
        <v>504</v>
      </c>
      <c r="K57">
        <v>784</v>
      </c>
      <c r="L57">
        <v>748</v>
      </c>
      <c r="M57">
        <v>754</v>
      </c>
      <c r="N57">
        <v>744</v>
      </c>
      <c r="O57">
        <v>724</v>
      </c>
      <c r="P57">
        <v>684</v>
      </c>
      <c r="Q57">
        <v>414</v>
      </c>
      <c r="R57">
        <v>408</v>
      </c>
      <c r="S57">
        <v>374</v>
      </c>
      <c r="T57">
        <v>394</v>
      </c>
      <c r="U57">
        <v>564</v>
      </c>
      <c r="V57">
        <v>1816</v>
      </c>
      <c r="W57">
        <v>55000</v>
      </c>
      <c r="X57">
        <v>14</v>
      </c>
      <c r="Y57">
        <v>0</v>
      </c>
      <c r="Z57">
        <v>0</v>
      </c>
      <c r="AA57" t="b">
        <v>0</v>
      </c>
      <c r="AB57">
        <v>2675</v>
      </c>
      <c r="AC57">
        <v>210</v>
      </c>
      <c r="AD57" t="s">
        <v>34</v>
      </c>
    </row>
    <row r="58" spans="1:30" x14ac:dyDescent="0.25">
      <c r="A58" t="s">
        <v>115</v>
      </c>
      <c r="B58" t="s">
        <v>116</v>
      </c>
      <c r="C58" t="s">
        <v>47</v>
      </c>
      <c r="D58" t="s">
        <v>33</v>
      </c>
      <c r="E58">
        <v>4880</v>
      </c>
      <c r="H58">
        <v>624</v>
      </c>
      <c r="K58">
        <v>644</v>
      </c>
      <c r="L58">
        <v>628</v>
      </c>
      <c r="M58">
        <v>634</v>
      </c>
      <c r="N58">
        <v>644</v>
      </c>
      <c r="O58">
        <v>784</v>
      </c>
      <c r="P58">
        <v>824</v>
      </c>
      <c r="V58">
        <v>1987</v>
      </c>
      <c r="W58">
        <v>9000</v>
      </c>
      <c r="X58">
        <v>80</v>
      </c>
      <c r="Y58">
        <v>0</v>
      </c>
      <c r="Z58">
        <v>0</v>
      </c>
      <c r="AA58" t="b">
        <v>0</v>
      </c>
      <c r="AB58">
        <v>4880</v>
      </c>
      <c r="AC58">
        <v>39</v>
      </c>
      <c r="AD58"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A676-6794-49C5-8EE4-8C388E6B88E0}">
  <dimension ref="A1:AD58"/>
  <sheetViews>
    <sheetView topLeftCell="A25" workbookViewId="0">
      <selection activeCell="Y14" sqref="Y14"/>
    </sheetView>
  </sheetViews>
  <sheetFormatPr defaultRowHeight="15" x14ac:dyDescent="0.25"/>
  <cols>
    <col min="1" max="1" width="25.5703125" bestFit="1" customWidth="1"/>
    <col min="2" max="2" width="12" bestFit="1" customWidth="1"/>
    <col min="3" max="3" width="14" bestFit="1" customWidth="1"/>
    <col min="4" max="4" width="17.28515625" bestFit="1" customWidth="1"/>
    <col min="5" max="5" width="15.140625" bestFit="1" customWidth="1"/>
    <col min="6" max="6" width="16.28515625" bestFit="1" customWidth="1"/>
    <col min="7" max="7" width="17.7109375" bestFit="1" customWidth="1"/>
    <col min="8" max="8" width="11" bestFit="1" customWidth="1"/>
    <col min="9" max="9" width="12" bestFit="1" customWidth="1"/>
    <col min="10" max="10" width="13.42578125" bestFit="1" customWidth="1"/>
    <col min="11" max="11" width="18.7109375" bestFit="1" customWidth="1"/>
    <col min="12" max="12" width="19" bestFit="1" customWidth="1"/>
    <col min="13" max="13" width="20.42578125" bestFit="1" customWidth="1"/>
    <col min="14" max="14" width="13.85546875" bestFit="1" customWidth="1"/>
    <col min="15" max="15" width="16.42578125" bestFit="1" customWidth="1"/>
    <col min="16" max="16" width="18.140625" bestFit="1" customWidth="1"/>
    <col min="17" max="17" width="14.85546875" bestFit="1" customWidth="1"/>
    <col min="18" max="18" width="19.28515625" bestFit="1" customWidth="1"/>
    <col min="19" max="19" width="22.28515625" bestFit="1" customWidth="1"/>
    <col min="20" max="20" width="14.5703125" bestFit="1" customWidth="1"/>
    <col min="21" max="21" width="18.28515625" bestFit="1" customWidth="1"/>
    <col min="22" max="22" width="10.85546875" bestFit="1" customWidth="1"/>
    <col min="23" max="23" width="16.28515625" bestFit="1" customWidth="1"/>
    <col min="24" max="24" width="18.85546875" bestFit="1" customWidth="1"/>
    <col min="25" max="25" width="17.85546875" bestFit="1" customWidth="1"/>
    <col min="26" max="26" width="18" bestFit="1" customWidth="1"/>
    <col min="27" max="27" width="17.42578125" bestFit="1" customWidth="1"/>
    <col min="28" max="28" width="15.42578125" bestFit="1" customWidth="1"/>
    <col min="29" max="29" width="21.5703125" bestFit="1" customWidth="1"/>
    <col min="30" max="30" width="41.8554687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t="s">
        <v>31</v>
      </c>
      <c r="C2" t="s">
        <v>32</v>
      </c>
      <c r="D2" t="s">
        <v>33</v>
      </c>
      <c r="E2">
        <v>10</v>
      </c>
      <c r="F2">
        <v>20</v>
      </c>
      <c r="G2">
        <v>30</v>
      </c>
      <c r="H2">
        <v>1000</v>
      </c>
      <c r="I2">
        <v>964</v>
      </c>
      <c r="J2">
        <v>1000</v>
      </c>
      <c r="K2">
        <v>1000</v>
      </c>
      <c r="L2">
        <v>1000</v>
      </c>
      <c r="M2">
        <v>1000</v>
      </c>
      <c r="N2">
        <v>1000</v>
      </c>
      <c r="O2">
        <v>1000</v>
      </c>
      <c r="P2">
        <v>984</v>
      </c>
      <c r="Q2">
        <v>915</v>
      </c>
      <c r="R2">
        <v>998</v>
      </c>
      <c r="S2">
        <v>972</v>
      </c>
      <c r="T2">
        <v>802</v>
      </c>
      <c r="U2">
        <v>742</v>
      </c>
      <c r="V2">
        <v>1861</v>
      </c>
      <c r="W2">
        <v>11858</v>
      </c>
      <c r="X2">
        <v>34</v>
      </c>
      <c r="Y2">
        <v>100</v>
      </c>
      <c r="Z2">
        <v>1</v>
      </c>
      <c r="AA2" t="b">
        <v>1</v>
      </c>
      <c r="AB2">
        <v>20</v>
      </c>
      <c r="AC2">
        <v>165</v>
      </c>
      <c r="AD2" t="s">
        <v>34</v>
      </c>
    </row>
    <row r="3" spans="1:30" x14ac:dyDescent="0.25">
      <c r="A3" t="s">
        <v>35</v>
      </c>
      <c r="B3" t="s">
        <v>36</v>
      </c>
      <c r="C3" t="s">
        <v>37</v>
      </c>
      <c r="D3" t="s">
        <v>38</v>
      </c>
      <c r="E3">
        <v>20</v>
      </c>
      <c r="F3">
        <v>80</v>
      </c>
      <c r="H3">
        <v>992</v>
      </c>
      <c r="I3">
        <v>861</v>
      </c>
      <c r="K3">
        <v>994</v>
      </c>
      <c r="L3">
        <v>992</v>
      </c>
      <c r="M3">
        <v>1000</v>
      </c>
      <c r="N3">
        <v>994</v>
      </c>
      <c r="O3">
        <v>1000</v>
      </c>
      <c r="P3">
        <v>975</v>
      </c>
      <c r="Q3">
        <v>834</v>
      </c>
      <c r="R3">
        <v>921</v>
      </c>
      <c r="S3">
        <v>874</v>
      </c>
      <c r="T3">
        <v>804</v>
      </c>
      <c r="U3">
        <v>552</v>
      </c>
      <c r="V3">
        <v>1907</v>
      </c>
      <c r="W3">
        <v>19000</v>
      </c>
      <c r="X3">
        <v>61</v>
      </c>
      <c r="Y3">
        <v>15</v>
      </c>
      <c r="Z3">
        <v>0</v>
      </c>
      <c r="AA3" t="b">
        <v>0</v>
      </c>
      <c r="AB3">
        <v>50</v>
      </c>
      <c r="AC3">
        <v>119</v>
      </c>
      <c r="AD3" t="s">
        <v>34</v>
      </c>
    </row>
    <row r="4" spans="1:30" x14ac:dyDescent="0.25">
      <c r="A4" t="s">
        <v>39</v>
      </c>
      <c r="B4" t="s">
        <v>31</v>
      </c>
      <c r="C4" t="s">
        <v>32</v>
      </c>
      <c r="D4" t="s">
        <v>33</v>
      </c>
      <c r="E4">
        <v>30</v>
      </c>
      <c r="F4">
        <v>50</v>
      </c>
      <c r="G4">
        <v>20</v>
      </c>
      <c r="H4">
        <v>991</v>
      </c>
      <c r="I4">
        <v>955</v>
      </c>
      <c r="J4">
        <v>765</v>
      </c>
      <c r="K4">
        <v>992</v>
      </c>
      <c r="L4">
        <v>996</v>
      </c>
      <c r="M4">
        <v>1000</v>
      </c>
      <c r="N4">
        <v>998</v>
      </c>
      <c r="O4">
        <v>984</v>
      </c>
      <c r="P4">
        <v>992</v>
      </c>
      <c r="Q4">
        <v>952</v>
      </c>
      <c r="R4">
        <v>996</v>
      </c>
      <c r="S4">
        <v>994</v>
      </c>
      <c r="T4">
        <v>776</v>
      </c>
      <c r="U4">
        <v>884</v>
      </c>
      <c r="V4">
        <v>1885</v>
      </c>
      <c r="W4">
        <v>17249</v>
      </c>
      <c r="X4">
        <v>24</v>
      </c>
      <c r="Y4">
        <v>85</v>
      </c>
      <c r="Z4">
        <v>22</v>
      </c>
      <c r="AA4" t="b">
        <v>1</v>
      </c>
      <c r="AB4">
        <v>33</v>
      </c>
      <c r="AC4">
        <v>141</v>
      </c>
      <c r="AD4" t="s">
        <v>34</v>
      </c>
    </row>
    <row r="5" spans="1:30" x14ac:dyDescent="0.25">
      <c r="A5" t="s">
        <v>40</v>
      </c>
      <c r="B5" t="s">
        <v>36</v>
      </c>
      <c r="C5" t="s">
        <v>37</v>
      </c>
      <c r="D5" t="s">
        <v>38</v>
      </c>
      <c r="E5">
        <v>40</v>
      </c>
      <c r="F5">
        <v>10</v>
      </c>
      <c r="G5">
        <v>60</v>
      </c>
      <c r="H5">
        <v>989</v>
      </c>
      <c r="I5">
        <v>970</v>
      </c>
      <c r="J5">
        <v>724</v>
      </c>
      <c r="K5">
        <v>996</v>
      </c>
      <c r="L5">
        <v>998</v>
      </c>
      <c r="M5">
        <v>1000</v>
      </c>
      <c r="N5">
        <v>962</v>
      </c>
      <c r="O5">
        <v>1000</v>
      </c>
      <c r="P5">
        <v>984</v>
      </c>
      <c r="Q5">
        <v>978</v>
      </c>
      <c r="R5">
        <v>984</v>
      </c>
      <c r="S5">
        <v>958</v>
      </c>
      <c r="T5">
        <v>788</v>
      </c>
      <c r="U5">
        <v>664</v>
      </c>
      <c r="V5">
        <v>1096</v>
      </c>
      <c r="W5">
        <v>24000</v>
      </c>
      <c r="X5">
        <v>41</v>
      </c>
      <c r="Y5">
        <v>72</v>
      </c>
      <c r="Z5">
        <v>0</v>
      </c>
      <c r="AA5" t="b">
        <v>1</v>
      </c>
      <c r="AB5">
        <v>37</v>
      </c>
      <c r="AC5">
        <v>930</v>
      </c>
      <c r="AD5" t="s">
        <v>34</v>
      </c>
    </row>
    <row r="6" spans="1:30" x14ac:dyDescent="0.25">
      <c r="A6" t="s">
        <v>41</v>
      </c>
      <c r="B6" t="s">
        <v>31</v>
      </c>
      <c r="C6" t="s">
        <v>32</v>
      </c>
      <c r="D6" t="s">
        <v>33</v>
      </c>
      <c r="E6">
        <v>50</v>
      </c>
      <c r="F6">
        <v>50</v>
      </c>
      <c r="G6">
        <v>10</v>
      </c>
      <c r="H6">
        <v>988</v>
      </c>
      <c r="I6">
        <v>955</v>
      </c>
      <c r="J6">
        <v>1000</v>
      </c>
      <c r="K6">
        <v>998</v>
      </c>
      <c r="L6">
        <v>998</v>
      </c>
      <c r="M6">
        <v>1000</v>
      </c>
      <c r="N6">
        <v>976</v>
      </c>
      <c r="O6">
        <v>882</v>
      </c>
      <c r="P6">
        <v>992</v>
      </c>
      <c r="Q6">
        <v>954</v>
      </c>
      <c r="R6">
        <v>992</v>
      </c>
      <c r="S6">
        <v>974</v>
      </c>
      <c r="T6">
        <v>792</v>
      </c>
      <c r="U6">
        <v>774</v>
      </c>
      <c r="V6">
        <v>1636</v>
      </c>
      <c r="W6">
        <v>21000</v>
      </c>
      <c r="X6">
        <v>25</v>
      </c>
      <c r="Y6">
        <v>162</v>
      </c>
      <c r="Z6">
        <v>4</v>
      </c>
      <c r="AA6" t="b">
        <v>1</v>
      </c>
      <c r="AB6">
        <v>37</v>
      </c>
      <c r="AC6">
        <v>390</v>
      </c>
      <c r="AD6" t="s">
        <v>34</v>
      </c>
    </row>
    <row r="7" spans="1:30" x14ac:dyDescent="0.25">
      <c r="A7" t="s">
        <v>42</v>
      </c>
      <c r="B7" t="s">
        <v>36</v>
      </c>
      <c r="C7" t="s">
        <v>37</v>
      </c>
      <c r="D7" t="s">
        <v>38</v>
      </c>
      <c r="E7">
        <v>60</v>
      </c>
      <c r="F7">
        <v>30</v>
      </c>
      <c r="G7">
        <v>40</v>
      </c>
      <c r="H7">
        <v>984</v>
      </c>
      <c r="I7">
        <v>962</v>
      </c>
      <c r="J7">
        <v>832</v>
      </c>
      <c r="K7">
        <v>994</v>
      </c>
      <c r="L7">
        <v>996</v>
      </c>
      <c r="M7">
        <v>1000</v>
      </c>
      <c r="N7">
        <v>958</v>
      </c>
      <c r="O7">
        <v>1000</v>
      </c>
      <c r="P7">
        <v>992</v>
      </c>
      <c r="Q7">
        <v>964</v>
      </c>
      <c r="R7">
        <v>988</v>
      </c>
      <c r="S7">
        <v>962</v>
      </c>
      <c r="T7">
        <v>784</v>
      </c>
      <c r="U7">
        <v>684</v>
      </c>
      <c r="V7">
        <v>1209</v>
      </c>
      <c r="W7">
        <v>24500</v>
      </c>
      <c r="X7">
        <v>38</v>
      </c>
      <c r="Y7">
        <v>121</v>
      </c>
      <c r="Z7">
        <v>1</v>
      </c>
      <c r="AA7" t="b">
        <v>1</v>
      </c>
      <c r="AB7">
        <v>43</v>
      </c>
      <c r="AC7">
        <v>817</v>
      </c>
      <c r="AD7" t="s">
        <v>34</v>
      </c>
    </row>
    <row r="8" spans="1:30" x14ac:dyDescent="0.25">
      <c r="A8" t="s">
        <v>43</v>
      </c>
      <c r="B8" t="s">
        <v>44</v>
      </c>
      <c r="C8" t="s">
        <v>37</v>
      </c>
      <c r="D8" t="s">
        <v>38</v>
      </c>
      <c r="E8">
        <v>70</v>
      </c>
      <c r="F8">
        <v>70</v>
      </c>
      <c r="G8">
        <v>220</v>
      </c>
      <c r="H8">
        <v>978</v>
      </c>
      <c r="I8">
        <v>874</v>
      </c>
      <c r="J8">
        <v>558</v>
      </c>
      <c r="K8">
        <v>974</v>
      </c>
      <c r="L8">
        <v>968</v>
      </c>
      <c r="M8">
        <v>1000</v>
      </c>
      <c r="N8">
        <v>972</v>
      </c>
      <c r="O8">
        <v>1000</v>
      </c>
      <c r="P8">
        <v>1000</v>
      </c>
      <c r="Q8">
        <v>854</v>
      </c>
      <c r="R8">
        <v>884</v>
      </c>
      <c r="S8">
        <v>852</v>
      </c>
      <c r="T8">
        <v>774</v>
      </c>
      <c r="U8">
        <v>998</v>
      </c>
      <c r="V8">
        <v>1855</v>
      </c>
      <c r="W8">
        <v>24500</v>
      </c>
      <c r="X8">
        <v>41</v>
      </c>
      <c r="Y8">
        <v>32</v>
      </c>
      <c r="Z8">
        <v>1</v>
      </c>
      <c r="AA8" t="b">
        <v>1</v>
      </c>
      <c r="AB8">
        <v>120</v>
      </c>
      <c r="AC8">
        <v>171</v>
      </c>
      <c r="AD8" t="s">
        <v>34</v>
      </c>
    </row>
    <row r="9" spans="1:30" x14ac:dyDescent="0.25">
      <c r="A9" t="s">
        <v>45</v>
      </c>
      <c r="B9" t="s">
        <v>46</v>
      </c>
      <c r="C9" t="s">
        <v>47</v>
      </c>
      <c r="D9" t="s">
        <v>38</v>
      </c>
      <c r="E9">
        <v>80</v>
      </c>
      <c r="F9">
        <v>170</v>
      </c>
      <c r="H9">
        <v>972</v>
      </c>
      <c r="I9">
        <v>846</v>
      </c>
      <c r="K9">
        <v>968</v>
      </c>
      <c r="L9">
        <v>994</v>
      </c>
      <c r="M9">
        <v>984</v>
      </c>
      <c r="N9">
        <v>994</v>
      </c>
      <c r="O9">
        <v>1000</v>
      </c>
      <c r="P9">
        <v>1000</v>
      </c>
      <c r="Q9">
        <v>808</v>
      </c>
      <c r="R9">
        <v>854</v>
      </c>
      <c r="S9">
        <v>802</v>
      </c>
      <c r="T9">
        <v>724</v>
      </c>
      <c r="U9">
        <v>1000</v>
      </c>
      <c r="V9">
        <v>1905</v>
      </c>
      <c r="W9">
        <v>40000</v>
      </c>
      <c r="X9">
        <v>36</v>
      </c>
      <c r="Y9">
        <v>3</v>
      </c>
      <c r="Z9">
        <v>0</v>
      </c>
      <c r="AA9" t="b">
        <v>0</v>
      </c>
      <c r="AB9">
        <v>125</v>
      </c>
      <c r="AC9">
        <v>121</v>
      </c>
      <c r="AD9" t="s">
        <v>34</v>
      </c>
    </row>
    <row r="10" spans="1:30" x14ac:dyDescent="0.25">
      <c r="A10" t="s">
        <v>48</v>
      </c>
      <c r="B10" t="s">
        <v>36</v>
      </c>
      <c r="C10" t="s">
        <v>37</v>
      </c>
      <c r="D10" t="s">
        <v>38</v>
      </c>
      <c r="E10">
        <v>90</v>
      </c>
      <c r="F10">
        <v>90</v>
      </c>
      <c r="H10">
        <v>970</v>
      </c>
      <c r="I10">
        <v>860</v>
      </c>
      <c r="K10">
        <v>978</v>
      </c>
      <c r="L10">
        <v>984</v>
      </c>
      <c r="M10">
        <v>1000</v>
      </c>
      <c r="N10">
        <v>968</v>
      </c>
      <c r="O10">
        <v>1000</v>
      </c>
      <c r="P10">
        <v>1000</v>
      </c>
      <c r="Q10">
        <v>854</v>
      </c>
      <c r="R10">
        <v>888</v>
      </c>
      <c r="S10">
        <v>804</v>
      </c>
      <c r="T10">
        <v>768</v>
      </c>
      <c r="U10">
        <v>724</v>
      </c>
      <c r="V10">
        <v>1826</v>
      </c>
      <c r="W10">
        <v>39000</v>
      </c>
      <c r="X10">
        <v>56</v>
      </c>
      <c r="Y10">
        <v>14</v>
      </c>
      <c r="Z10">
        <v>0</v>
      </c>
      <c r="AA10" t="b">
        <v>0</v>
      </c>
      <c r="AB10">
        <v>90</v>
      </c>
      <c r="AC10">
        <v>200</v>
      </c>
      <c r="AD10" t="s">
        <v>34</v>
      </c>
    </row>
    <row r="11" spans="1:30" x14ac:dyDescent="0.25">
      <c r="A11" t="s">
        <v>49</v>
      </c>
      <c r="B11" t="s">
        <v>31</v>
      </c>
      <c r="C11" t="s">
        <v>32</v>
      </c>
      <c r="D11" t="s">
        <v>33</v>
      </c>
      <c r="E11">
        <v>100</v>
      </c>
      <c r="F11">
        <v>70</v>
      </c>
      <c r="G11">
        <v>90</v>
      </c>
      <c r="H11">
        <v>968</v>
      </c>
      <c r="I11">
        <v>874</v>
      </c>
      <c r="J11">
        <v>658</v>
      </c>
      <c r="K11">
        <v>964</v>
      </c>
      <c r="L11">
        <v>962</v>
      </c>
      <c r="M11">
        <v>1000</v>
      </c>
      <c r="N11">
        <v>1000</v>
      </c>
      <c r="O11">
        <v>884</v>
      </c>
      <c r="P11">
        <v>912</v>
      </c>
      <c r="Q11">
        <v>854</v>
      </c>
      <c r="R11">
        <v>992</v>
      </c>
      <c r="S11">
        <v>974</v>
      </c>
      <c r="T11">
        <v>724</v>
      </c>
      <c r="U11">
        <v>600</v>
      </c>
      <c r="V11">
        <v>1891</v>
      </c>
      <c r="W11">
        <v>2240</v>
      </c>
      <c r="X11">
        <v>32</v>
      </c>
      <c r="Y11">
        <v>46</v>
      </c>
      <c r="Z11">
        <v>6</v>
      </c>
      <c r="AA11" t="b">
        <v>1</v>
      </c>
      <c r="AB11">
        <v>87</v>
      </c>
      <c r="AC11">
        <v>135</v>
      </c>
      <c r="AD11" t="s">
        <v>34</v>
      </c>
    </row>
    <row r="12" spans="1:30" x14ac:dyDescent="0.25">
      <c r="A12" t="s">
        <v>50</v>
      </c>
      <c r="B12" t="s">
        <v>31</v>
      </c>
      <c r="C12" t="s">
        <v>32</v>
      </c>
      <c r="D12" t="s">
        <v>33</v>
      </c>
      <c r="E12">
        <v>130</v>
      </c>
      <c r="F12">
        <v>150</v>
      </c>
      <c r="G12">
        <v>100</v>
      </c>
      <c r="H12">
        <v>962</v>
      </c>
      <c r="I12">
        <v>838</v>
      </c>
      <c r="J12">
        <v>642</v>
      </c>
      <c r="K12">
        <v>972</v>
      </c>
      <c r="L12">
        <v>984</v>
      </c>
      <c r="M12">
        <v>984</v>
      </c>
      <c r="N12">
        <v>984</v>
      </c>
      <c r="O12">
        <v>862</v>
      </c>
      <c r="P12">
        <v>784</v>
      </c>
      <c r="Q12">
        <v>824</v>
      </c>
      <c r="R12">
        <v>972</v>
      </c>
      <c r="S12">
        <v>958</v>
      </c>
      <c r="T12">
        <v>728</v>
      </c>
      <c r="U12">
        <v>602</v>
      </c>
      <c r="V12">
        <v>1890</v>
      </c>
      <c r="W12">
        <v>17002</v>
      </c>
      <c r="X12">
        <v>30</v>
      </c>
      <c r="Y12">
        <v>100</v>
      </c>
      <c r="Z12">
        <v>1</v>
      </c>
      <c r="AA12" t="b">
        <v>1</v>
      </c>
      <c r="AB12">
        <v>127</v>
      </c>
      <c r="AC12">
        <v>136</v>
      </c>
      <c r="AD12" t="s">
        <v>34</v>
      </c>
    </row>
    <row r="13" spans="1:30" x14ac:dyDescent="0.25">
      <c r="A13" t="s">
        <v>51</v>
      </c>
      <c r="B13" t="s">
        <v>31</v>
      </c>
      <c r="C13" t="s">
        <v>32</v>
      </c>
      <c r="D13" t="s">
        <v>33</v>
      </c>
      <c r="E13">
        <v>150</v>
      </c>
      <c r="F13">
        <v>30</v>
      </c>
      <c r="G13">
        <v>70</v>
      </c>
      <c r="H13">
        <v>948</v>
      </c>
      <c r="I13">
        <v>962</v>
      </c>
      <c r="J13">
        <v>708</v>
      </c>
      <c r="K13">
        <v>974</v>
      </c>
      <c r="L13">
        <v>978</v>
      </c>
      <c r="M13">
        <v>1000</v>
      </c>
      <c r="N13">
        <v>962</v>
      </c>
      <c r="O13">
        <v>804</v>
      </c>
      <c r="P13">
        <v>684</v>
      </c>
      <c r="Q13">
        <v>924</v>
      </c>
      <c r="R13">
        <v>992</v>
      </c>
      <c r="S13">
        <v>978</v>
      </c>
      <c r="T13">
        <v>748</v>
      </c>
      <c r="U13">
        <v>644</v>
      </c>
      <c r="V13">
        <v>1746</v>
      </c>
      <c r="W13">
        <v>8374</v>
      </c>
      <c r="X13">
        <v>25</v>
      </c>
      <c r="Y13">
        <v>64</v>
      </c>
      <c r="Z13">
        <v>1</v>
      </c>
      <c r="AA13" t="b">
        <v>1</v>
      </c>
      <c r="AB13">
        <v>83</v>
      </c>
      <c r="AC13">
        <v>280</v>
      </c>
      <c r="AD13" t="s">
        <v>34</v>
      </c>
    </row>
    <row r="14" spans="1:30" x14ac:dyDescent="0.25">
      <c r="A14" t="s">
        <v>52</v>
      </c>
      <c r="B14" t="s">
        <v>53</v>
      </c>
      <c r="C14" t="s">
        <v>47</v>
      </c>
      <c r="D14" t="s">
        <v>38</v>
      </c>
      <c r="E14">
        <v>110</v>
      </c>
      <c r="F14">
        <v>350</v>
      </c>
      <c r="H14">
        <v>962</v>
      </c>
      <c r="I14">
        <v>768</v>
      </c>
      <c r="K14">
        <v>958</v>
      </c>
      <c r="L14">
        <v>974</v>
      </c>
      <c r="M14">
        <v>974</v>
      </c>
      <c r="N14">
        <v>968</v>
      </c>
      <c r="O14">
        <v>1000</v>
      </c>
      <c r="P14">
        <v>1000</v>
      </c>
      <c r="Q14">
        <v>724</v>
      </c>
      <c r="R14">
        <v>728</v>
      </c>
      <c r="S14">
        <v>654</v>
      </c>
      <c r="T14">
        <v>684</v>
      </c>
      <c r="U14">
        <v>922</v>
      </c>
      <c r="V14">
        <v>1911</v>
      </c>
      <c r="W14">
        <v>30000</v>
      </c>
      <c r="X14">
        <v>34</v>
      </c>
      <c r="Y14">
        <v>0</v>
      </c>
      <c r="Z14">
        <v>0</v>
      </c>
      <c r="AA14" t="b">
        <v>0</v>
      </c>
      <c r="AB14">
        <v>230</v>
      </c>
      <c r="AC14">
        <v>115</v>
      </c>
      <c r="AD14" t="s">
        <v>34</v>
      </c>
    </row>
    <row r="15" spans="1:30" x14ac:dyDescent="0.25">
      <c r="A15" t="s">
        <v>54</v>
      </c>
      <c r="B15" t="s">
        <v>46</v>
      </c>
      <c r="C15" t="s">
        <v>47</v>
      </c>
      <c r="D15" t="s">
        <v>38</v>
      </c>
      <c r="E15">
        <v>120</v>
      </c>
      <c r="F15">
        <v>460</v>
      </c>
      <c r="H15">
        <v>954</v>
      </c>
      <c r="I15">
        <v>712</v>
      </c>
      <c r="K15">
        <v>952</v>
      </c>
      <c r="L15">
        <v>968</v>
      </c>
      <c r="M15">
        <v>968</v>
      </c>
      <c r="N15">
        <v>968</v>
      </c>
      <c r="O15">
        <v>1000</v>
      </c>
      <c r="P15">
        <v>1000</v>
      </c>
      <c r="Q15">
        <v>664</v>
      </c>
      <c r="R15">
        <v>642</v>
      </c>
      <c r="S15">
        <v>608</v>
      </c>
      <c r="T15">
        <v>624</v>
      </c>
      <c r="U15">
        <v>968</v>
      </c>
      <c r="V15">
        <v>1991</v>
      </c>
      <c r="W15">
        <v>33000</v>
      </c>
      <c r="X15">
        <v>34</v>
      </c>
      <c r="Y15">
        <v>0</v>
      </c>
      <c r="Z15">
        <v>0</v>
      </c>
      <c r="AA15" t="b">
        <v>0</v>
      </c>
      <c r="AB15">
        <v>290</v>
      </c>
      <c r="AC15">
        <v>35</v>
      </c>
      <c r="AD15" t="s">
        <v>34</v>
      </c>
    </row>
    <row r="16" spans="1:30" x14ac:dyDescent="0.25">
      <c r="A16" t="s">
        <v>55</v>
      </c>
      <c r="B16" t="s">
        <v>31</v>
      </c>
      <c r="C16" t="s">
        <v>32</v>
      </c>
      <c r="D16" t="s">
        <v>33</v>
      </c>
      <c r="E16">
        <v>130</v>
      </c>
      <c r="F16">
        <v>180</v>
      </c>
      <c r="H16">
        <v>952</v>
      </c>
      <c r="I16">
        <v>832</v>
      </c>
      <c r="K16">
        <v>972</v>
      </c>
      <c r="L16">
        <v>992</v>
      </c>
      <c r="M16">
        <v>978</v>
      </c>
      <c r="N16">
        <v>948</v>
      </c>
      <c r="O16">
        <v>858</v>
      </c>
      <c r="P16">
        <v>842</v>
      </c>
      <c r="Q16">
        <v>808</v>
      </c>
      <c r="R16">
        <v>884</v>
      </c>
      <c r="S16">
        <v>864</v>
      </c>
      <c r="T16">
        <v>704</v>
      </c>
      <c r="U16">
        <v>608</v>
      </c>
      <c r="V16">
        <v>1865</v>
      </c>
      <c r="W16">
        <v>24000</v>
      </c>
      <c r="X16">
        <v>27</v>
      </c>
      <c r="Y16">
        <v>45</v>
      </c>
      <c r="Z16">
        <v>0</v>
      </c>
      <c r="AA16" t="b">
        <v>0</v>
      </c>
      <c r="AB16">
        <v>155</v>
      </c>
      <c r="AC16">
        <v>161</v>
      </c>
      <c r="AD16" t="s">
        <v>34</v>
      </c>
    </row>
    <row r="17" spans="1:30" x14ac:dyDescent="0.25">
      <c r="A17" t="s">
        <v>56</v>
      </c>
      <c r="B17" t="s">
        <v>31</v>
      </c>
      <c r="C17" t="s">
        <v>32</v>
      </c>
      <c r="D17" t="s">
        <v>33</v>
      </c>
      <c r="E17">
        <v>160</v>
      </c>
      <c r="F17">
        <v>90</v>
      </c>
      <c r="G17">
        <v>140</v>
      </c>
      <c r="H17">
        <v>944</v>
      </c>
      <c r="I17">
        <v>860</v>
      </c>
      <c r="J17">
        <v>608</v>
      </c>
      <c r="K17">
        <v>976</v>
      </c>
      <c r="L17">
        <v>984</v>
      </c>
      <c r="M17">
        <v>1000</v>
      </c>
      <c r="N17">
        <v>924</v>
      </c>
      <c r="O17">
        <v>804</v>
      </c>
      <c r="P17">
        <v>748</v>
      </c>
      <c r="Q17">
        <v>834</v>
      </c>
      <c r="R17">
        <v>958</v>
      </c>
      <c r="S17">
        <v>962</v>
      </c>
      <c r="T17">
        <v>744</v>
      </c>
      <c r="U17">
        <v>642</v>
      </c>
      <c r="V17">
        <v>1701</v>
      </c>
      <c r="W17">
        <v>14500</v>
      </c>
      <c r="X17">
        <v>21</v>
      </c>
      <c r="Y17">
        <v>65</v>
      </c>
      <c r="Z17">
        <v>1</v>
      </c>
      <c r="AA17" t="b">
        <v>1</v>
      </c>
      <c r="AB17">
        <v>130</v>
      </c>
      <c r="AC17">
        <v>325</v>
      </c>
      <c r="AD17" t="s">
        <v>34</v>
      </c>
    </row>
    <row r="18" spans="1:30" x14ac:dyDescent="0.25">
      <c r="A18" t="s">
        <v>57</v>
      </c>
      <c r="B18" t="s">
        <v>31</v>
      </c>
      <c r="C18" t="s">
        <v>32</v>
      </c>
      <c r="D18" t="s">
        <v>33</v>
      </c>
      <c r="E18">
        <v>140</v>
      </c>
      <c r="F18">
        <v>200</v>
      </c>
      <c r="G18">
        <v>80</v>
      </c>
      <c r="H18">
        <v>950</v>
      </c>
      <c r="I18">
        <v>818</v>
      </c>
      <c r="J18">
        <v>668</v>
      </c>
      <c r="K18">
        <v>972</v>
      </c>
      <c r="L18">
        <v>988</v>
      </c>
      <c r="M18">
        <v>974</v>
      </c>
      <c r="N18">
        <v>958</v>
      </c>
      <c r="O18">
        <v>884</v>
      </c>
      <c r="P18">
        <v>884</v>
      </c>
      <c r="Q18">
        <v>784</v>
      </c>
      <c r="R18">
        <v>904</v>
      </c>
      <c r="S18">
        <v>902</v>
      </c>
      <c r="T18">
        <v>724</v>
      </c>
      <c r="U18">
        <v>724</v>
      </c>
      <c r="V18">
        <v>1754</v>
      </c>
      <c r="W18">
        <v>31000</v>
      </c>
      <c r="X18">
        <v>47</v>
      </c>
      <c r="Y18">
        <v>101</v>
      </c>
      <c r="Z18">
        <v>0</v>
      </c>
      <c r="AA18" t="b">
        <v>1</v>
      </c>
      <c r="AB18">
        <v>140</v>
      </c>
      <c r="AC18">
        <v>272</v>
      </c>
      <c r="AD18" t="s">
        <v>34</v>
      </c>
    </row>
    <row r="19" spans="1:30" x14ac:dyDescent="0.25">
      <c r="A19" t="s">
        <v>58</v>
      </c>
      <c r="B19" t="s">
        <v>31</v>
      </c>
      <c r="C19" t="s">
        <v>32</v>
      </c>
      <c r="D19" t="s">
        <v>33</v>
      </c>
      <c r="E19">
        <v>120</v>
      </c>
      <c r="F19">
        <v>140</v>
      </c>
      <c r="H19">
        <v>958</v>
      </c>
      <c r="I19">
        <v>842</v>
      </c>
      <c r="K19">
        <v>968</v>
      </c>
      <c r="L19">
        <v>992</v>
      </c>
      <c r="M19">
        <v>974</v>
      </c>
      <c r="N19">
        <v>958</v>
      </c>
      <c r="O19">
        <v>868</v>
      </c>
      <c r="P19">
        <v>882</v>
      </c>
      <c r="Q19">
        <v>822</v>
      </c>
      <c r="R19">
        <v>924</v>
      </c>
      <c r="S19">
        <v>884</v>
      </c>
      <c r="T19">
        <v>724</v>
      </c>
      <c r="U19">
        <v>604</v>
      </c>
      <c r="V19">
        <v>1740</v>
      </c>
      <c r="W19">
        <v>22000</v>
      </c>
      <c r="X19">
        <v>21</v>
      </c>
      <c r="Y19">
        <v>8</v>
      </c>
      <c r="Z19">
        <v>0</v>
      </c>
      <c r="AA19" t="b">
        <v>0</v>
      </c>
      <c r="AB19">
        <v>130</v>
      </c>
      <c r="AC19">
        <v>286</v>
      </c>
      <c r="AD19" t="s">
        <v>34</v>
      </c>
    </row>
    <row r="20" spans="1:30" x14ac:dyDescent="0.25">
      <c r="A20" t="s">
        <v>59</v>
      </c>
      <c r="B20" t="s">
        <v>60</v>
      </c>
      <c r="C20" t="s">
        <v>61</v>
      </c>
      <c r="D20" t="s">
        <v>38</v>
      </c>
      <c r="E20">
        <v>190</v>
      </c>
      <c r="F20">
        <v>160</v>
      </c>
      <c r="G20">
        <v>330</v>
      </c>
      <c r="H20">
        <v>938</v>
      </c>
      <c r="I20">
        <v>834</v>
      </c>
      <c r="J20">
        <v>488</v>
      </c>
      <c r="K20">
        <v>954</v>
      </c>
      <c r="L20">
        <v>968</v>
      </c>
      <c r="M20">
        <v>968</v>
      </c>
      <c r="N20">
        <v>958</v>
      </c>
      <c r="O20">
        <v>992</v>
      </c>
      <c r="P20">
        <v>1000</v>
      </c>
      <c r="Q20">
        <v>808</v>
      </c>
      <c r="R20">
        <v>842</v>
      </c>
      <c r="S20">
        <v>794</v>
      </c>
      <c r="T20">
        <v>704</v>
      </c>
      <c r="U20">
        <v>688</v>
      </c>
      <c r="V20">
        <v>1853</v>
      </c>
      <c r="W20">
        <v>52000</v>
      </c>
      <c r="X20">
        <v>44</v>
      </c>
      <c r="Y20">
        <v>8</v>
      </c>
      <c r="Z20">
        <v>0</v>
      </c>
      <c r="AA20" t="b">
        <v>1</v>
      </c>
      <c r="AB20">
        <v>227</v>
      </c>
      <c r="AC20">
        <v>173</v>
      </c>
      <c r="AD20" t="s">
        <v>34</v>
      </c>
    </row>
    <row r="21" spans="1:30" x14ac:dyDescent="0.25">
      <c r="A21" t="s">
        <v>62</v>
      </c>
      <c r="B21" t="s">
        <v>63</v>
      </c>
      <c r="C21" t="s">
        <v>47</v>
      </c>
      <c r="D21" t="s">
        <v>38</v>
      </c>
      <c r="E21">
        <v>140</v>
      </c>
      <c r="F21">
        <v>130</v>
      </c>
      <c r="H21">
        <v>950</v>
      </c>
      <c r="I21">
        <v>852</v>
      </c>
      <c r="K21">
        <v>968</v>
      </c>
      <c r="L21">
        <v>948</v>
      </c>
      <c r="M21">
        <v>944</v>
      </c>
      <c r="N21">
        <v>958</v>
      </c>
      <c r="O21">
        <v>864</v>
      </c>
      <c r="P21">
        <v>824</v>
      </c>
      <c r="Q21">
        <v>844</v>
      </c>
      <c r="R21">
        <v>904</v>
      </c>
      <c r="S21">
        <v>864</v>
      </c>
      <c r="T21">
        <v>764</v>
      </c>
      <c r="U21">
        <v>624</v>
      </c>
      <c r="V21">
        <v>1898</v>
      </c>
      <c r="W21">
        <v>47000</v>
      </c>
      <c r="X21">
        <v>12</v>
      </c>
      <c r="Y21">
        <v>6</v>
      </c>
      <c r="Z21">
        <v>0</v>
      </c>
      <c r="AA21" t="b">
        <v>0</v>
      </c>
      <c r="AB21">
        <v>135</v>
      </c>
      <c r="AC21">
        <v>128</v>
      </c>
      <c r="AD21" t="s">
        <v>34</v>
      </c>
    </row>
    <row r="22" spans="1:30" x14ac:dyDescent="0.25">
      <c r="A22" t="s">
        <v>64</v>
      </c>
      <c r="B22" t="s">
        <v>63</v>
      </c>
      <c r="C22" t="s">
        <v>47</v>
      </c>
      <c r="D22" t="s">
        <v>38</v>
      </c>
      <c r="E22">
        <v>200</v>
      </c>
      <c r="F22">
        <v>120</v>
      </c>
      <c r="H22">
        <v>934</v>
      </c>
      <c r="I22">
        <v>862</v>
      </c>
      <c r="K22">
        <v>962</v>
      </c>
      <c r="L22">
        <v>974</v>
      </c>
      <c r="M22">
        <v>968</v>
      </c>
      <c r="N22">
        <v>968</v>
      </c>
      <c r="O22">
        <v>824</v>
      </c>
      <c r="P22">
        <v>744</v>
      </c>
      <c r="Q22">
        <v>854</v>
      </c>
      <c r="R22">
        <v>894</v>
      </c>
      <c r="S22">
        <v>844</v>
      </c>
      <c r="T22">
        <v>784</v>
      </c>
      <c r="U22">
        <v>628</v>
      </c>
      <c r="V22">
        <v>1911</v>
      </c>
      <c r="W22">
        <v>53000</v>
      </c>
      <c r="X22">
        <v>10</v>
      </c>
      <c r="Y22">
        <v>8</v>
      </c>
      <c r="Z22">
        <v>0</v>
      </c>
      <c r="AA22" t="b">
        <v>0</v>
      </c>
      <c r="AB22">
        <v>160</v>
      </c>
      <c r="AC22">
        <v>115</v>
      </c>
      <c r="AD22" t="s">
        <v>34</v>
      </c>
    </row>
    <row r="23" spans="1:30" x14ac:dyDescent="0.25">
      <c r="A23" t="s">
        <v>65</v>
      </c>
      <c r="B23" t="s">
        <v>31</v>
      </c>
      <c r="C23" t="s">
        <v>32</v>
      </c>
      <c r="D23" t="s">
        <v>38</v>
      </c>
      <c r="E23">
        <v>280</v>
      </c>
      <c r="F23">
        <v>90</v>
      </c>
      <c r="G23">
        <v>50</v>
      </c>
      <c r="H23">
        <v>912</v>
      </c>
      <c r="I23">
        <v>860</v>
      </c>
      <c r="J23">
        <v>752</v>
      </c>
      <c r="K23">
        <v>958</v>
      </c>
      <c r="L23">
        <v>984</v>
      </c>
      <c r="M23">
        <v>974</v>
      </c>
      <c r="N23">
        <v>932</v>
      </c>
      <c r="O23">
        <v>824</v>
      </c>
      <c r="P23">
        <v>884</v>
      </c>
      <c r="Q23">
        <v>834</v>
      </c>
      <c r="R23">
        <v>972</v>
      </c>
      <c r="S23">
        <v>974</v>
      </c>
      <c r="T23">
        <v>724</v>
      </c>
      <c r="U23">
        <v>724</v>
      </c>
      <c r="V23">
        <v>1868</v>
      </c>
      <c r="W23">
        <v>43000</v>
      </c>
      <c r="X23">
        <v>14</v>
      </c>
      <c r="Y23">
        <v>107</v>
      </c>
      <c r="Z23">
        <v>0</v>
      </c>
      <c r="AA23" t="b">
        <v>1</v>
      </c>
      <c r="AB23">
        <v>140</v>
      </c>
      <c r="AC23">
        <v>158</v>
      </c>
      <c r="AD23" t="s">
        <v>34</v>
      </c>
    </row>
    <row r="24" spans="1:30" x14ac:dyDescent="0.25">
      <c r="A24" t="s">
        <v>66</v>
      </c>
      <c r="B24" t="s">
        <v>31</v>
      </c>
      <c r="C24" t="s">
        <v>32</v>
      </c>
      <c r="D24" t="s">
        <v>33</v>
      </c>
      <c r="E24">
        <v>240</v>
      </c>
      <c r="F24">
        <v>210</v>
      </c>
      <c r="H24">
        <v>922</v>
      </c>
      <c r="I24">
        <v>808</v>
      </c>
      <c r="K24">
        <v>948</v>
      </c>
      <c r="L24">
        <v>984</v>
      </c>
      <c r="M24">
        <v>974</v>
      </c>
      <c r="N24">
        <v>938</v>
      </c>
      <c r="O24">
        <v>858</v>
      </c>
      <c r="P24">
        <v>824</v>
      </c>
      <c r="Q24">
        <v>804</v>
      </c>
      <c r="R24">
        <v>884</v>
      </c>
      <c r="S24">
        <v>878</v>
      </c>
      <c r="T24">
        <v>724</v>
      </c>
      <c r="U24">
        <v>658</v>
      </c>
      <c r="V24">
        <v>1876</v>
      </c>
      <c r="W24">
        <v>26000</v>
      </c>
      <c r="X24">
        <v>28</v>
      </c>
      <c r="Y24">
        <v>38</v>
      </c>
      <c r="Z24">
        <v>0</v>
      </c>
      <c r="AA24" t="b">
        <v>0</v>
      </c>
      <c r="AB24">
        <v>225</v>
      </c>
      <c r="AC24">
        <v>150</v>
      </c>
      <c r="AD24" t="s">
        <v>34</v>
      </c>
    </row>
    <row r="25" spans="1:30" x14ac:dyDescent="0.25">
      <c r="A25" t="s">
        <v>67</v>
      </c>
      <c r="B25" t="s">
        <v>60</v>
      </c>
      <c r="C25" t="s">
        <v>61</v>
      </c>
      <c r="D25" t="s">
        <v>38</v>
      </c>
      <c r="E25">
        <v>250</v>
      </c>
      <c r="F25">
        <v>430</v>
      </c>
      <c r="H25">
        <v>920</v>
      </c>
      <c r="I25">
        <v>716</v>
      </c>
      <c r="K25">
        <v>952</v>
      </c>
      <c r="L25">
        <v>958</v>
      </c>
      <c r="M25">
        <v>964</v>
      </c>
      <c r="N25">
        <v>948</v>
      </c>
      <c r="O25">
        <v>1000</v>
      </c>
      <c r="P25">
        <v>1000</v>
      </c>
      <c r="Q25">
        <v>684</v>
      </c>
      <c r="R25">
        <v>678</v>
      </c>
      <c r="S25">
        <v>614</v>
      </c>
      <c r="T25">
        <v>634</v>
      </c>
      <c r="U25">
        <v>708</v>
      </c>
      <c r="V25">
        <v>1850</v>
      </c>
      <c r="W25">
        <v>73000</v>
      </c>
      <c r="X25">
        <v>45</v>
      </c>
      <c r="Y25">
        <v>5</v>
      </c>
      <c r="Z25">
        <v>0</v>
      </c>
      <c r="AA25" t="b">
        <v>0</v>
      </c>
      <c r="AB25">
        <v>340</v>
      </c>
      <c r="AC25">
        <v>176</v>
      </c>
      <c r="AD25" t="s">
        <v>34</v>
      </c>
    </row>
    <row r="26" spans="1:30" x14ac:dyDescent="0.25">
      <c r="A26" t="s">
        <v>68</v>
      </c>
      <c r="B26" t="s">
        <v>31</v>
      </c>
      <c r="C26" t="s">
        <v>32</v>
      </c>
      <c r="D26" t="s">
        <v>33</v>
      </c>
      <c r="E26">
        <v>260</v>
      </c>
      <c r="F26">
        <v>220</v>
      </c>
      <c r="H26">
        <v>918</v>
      </c>
      <c r="I26">
        <v>804</v>
      </c>
      <c r="K26">
        <v>952</v>
      </c>
      <c r="L26">
        <v>978</v>
      </c>
      <c r="M26">
        <v>974</v>
      </c>
      <c r="N26">
        <v>928</v>
      </c>
      <c r="O26">
        <v>824</v>
      </c>
      <c r="P26">
        <v>784</v>
      </c>
      <c r="Q26">
        <v>788</v>
      </c>
      <c r="R26">
        <v>884</v>
      </c>
      <c r="S26">
        <v>868</v>
      </c>
      <c r="T26">
        <v>704</v>
      </c>
      <c r="U26">
        <v>624</v>
      </c>
      <c r="V26">
        <v>1838</v>
      </c>
      <c r="W26">
        <v>17000</v>
      </c>
      <c r="X26">
        <v>27</v>
      </c>
      <c r="Y26">
        <v>13</v>
      </c>
      <c r="Z26">
        <v>0</v>
      </c>
      <c r="AA26" t="b">
        <v>0</v>
      </c>
      <c r="AB26">
        <v>240</v>
      </c>
      <c r="AC26">
        <v>188</v>
      </c>
      <c r="AD26" t="s">
        <v>34</v>
      </c>
    </row>
    <row r="27" spans="1:30" x14ac:dyDescent="0.25">
      <c r="A27" t="s">
        <v>69</v>
      </c>
      <c r="B27" t="s">
        <v>70</v>
      </c>
      <c r="C27" t="s">
        <v>32</v>
      </c>
      <c r="D27" t="s">
        <v>38</v>
      </c>
      <c r="E27">
        <v>290</v>
      </c>
      <c r="F27">
        <v>220</v>
      </c>
      <c r="G27">
        <v>240</v>
      </c>
      <c r="H27">
        <v>910</v>
      </c>
      <c r="I27">
        <v>804</v>
      </c>
      <c r="J27">
        <v>538</v>
      </c>
      <c r="K27">
        <v>954</v>
      </c>
      <c r="L27">
        <v>978</v>
      </c>
      <c r="M27">
        <v>954</v>
      </c>
      <c r="N27">
        <v>932</v>
      </c>
      <c r="O27">
        <v>904</v>
      </c>
      <c r="P27">
        <v>884</v>
      </c>
      <c r="Q27">
        <v>794</v>
      </c>
      <c r="R27">
        <v>878</v>
      </c>
      <c r="S27">
        <v>854</v>
      </c>
      <c r="T27">
        <v>704</v>
      </c>
      <c r="U27">
        <v>744</v>
      </c>
      <c r="V27">
        <v>1827</v>
      </c>
      <c r="W27">
        <v>97000</v>
      </c>
      <c r="X27">
        <v>27</v>
      </c>
      <c r="Y27">
        <v>10</v>
      </c>
      <c r="Z27">
        <v>0</v>
      </c>
      <c r="AA27" t="b">
        <v>1</v>
      </c>
      <c r="AB27">
        <v>250</v>
      </c>
      <c r="AC27">
        <v>199</v>
      </c>
      <c r="AD27" t="s">
        <v>34</v>
      </c>
    </row>
    <row r="28" spans="1:30" x14ac:dyDescent="0.25">
      <c r="A28" t="s">
        <v>71</v>
      </c>
      <c r="B28" t="s">
        <v>31</v>
      </c>
      <c r="C28" t="s">
        <v>32</v>
      </c>
      <c r="D28" t="s">
        <v>38</v>
      </c>
      <c r="E28">
        <v>230</v>
      </c>
      <c r="F28">
        <v>220</v>
      </c>
      <c r="G28">
        <v>210</v>
      </c>
      <c r="H28">
        <v>924</v>
      </c>
      <c r="I28">
        <v>804</v>
      </c>
      <c r="J28">
        <v>564</v>
      </c>
      <c r="K28">
        <v>958</v>
      </c>
      <c r="L28">
        <v>972</v>
      </c>
      <c r="M28">
        <v>964</v>
      </c>
      <c r="N28">
        <v>938</v>
      </c>
      <c r="O28">
        <v>838</v>
      </c>
      <c r="P28">
        <v>824</v>
      </c>
      <c r="Q28">
        <v>788</v>
      </c>
      <c r="R28">
        <v>868</v>
      </c>
      <c r="S28">
        <v>872</v>
      </c>
      <c r="T28">
        <v>684</v>
      </c>
      <c r="U28">
        <v>644</v>
      </c>
      <c r="V28">
        <v>1817</v>
      </c>
      <c r="W28">
        <v>47000</v>
      </c>
      <c r="X28">
        <v>17</v>
      </c>
      <c r="Y28">
        <v>26</v>
      </c>
      <c r="Z28">
        <v>1</v>
      </c>
      <c r="AA28" t="b">
        <v>1</v>
      </c>
      <c r="AB28">
        <v>220</v>
      </c>
      <c r="AC28">
        <v>209</v>
      </c>
      <c r="AD28" t="s">
        <v>34</v>
      </c>
    </row>
    <row r="29" spans="1:30" x14ac:dyDescent="0.25">
      <c r="A29" t="s">
        <v>72</v>
      </c>
      <c r="B29" t="s">
        <v>36</v>
      </c>
      <c r="C29" t="s">
        <v>37</v>
      </c>
      <c r="D29" t="s">
        <v>38</v>
      </c>
      <c r="E29">
        <v>310</v>
      </c>
      <c r="F29">
        <v>440</v>
      </c>
      <c r="H29">
        <v>906</v>
      </c>
      <c r="I29">
        <v>714</v>
      </c>
      <c r="K29">
        <v>934</v>
      </c>
      <c r="L29">
        <v>954</v>
      </c>
      <c r="M29">
        <v>964</v>
      </c>
      <c r="N29">
        <v>908</v>
      </c>
      <c r="O29">
        <v>1000</v>
      </c>
      <c r="P29">
        <v>1000</v>
      </c>
      <c r="Q29">
        <v>678</v>
      </c>
      <c r="R29">
        <v>664</v>
      </c>
      <c r="S29">
        <v>614</v>
      </c>
      <c r="T29">
        <v>634</v>
      </c>
      <c r="U29">
        <v>738</v>
      </c>
      <c r="V29">
        <v>1829</v>
      </c>
      <c r="W29">
        <v>33000</v>
      </c>
      <c r="X29">
        <v>50</v>
      </c>
      <c r="Y29">
        <v>12</v>
      </c>
      <c r="Z29">
        <v>0</v>
      </c>
      <c r="AA29" t="b">
        <v>0</v>
      </c>
      <c r="AB29">
        <v>375</v>
      </c>
      <c r="AC29">
        <v>197</v>
      </c>
      <c r="AD29" t="s">
        <v>34</v>
      </c>
    </row>
    <row r="30" spans="1:30" x14ac:dyDescent="0.25">
      <c r="A30" t="s">
        <v>73</v>
      </c>
      <c r="B30" t="s">
        <v>36</v>
      </c>
      <c r="C30" t="s">
        <v>37</v>
      </c>
      <c r="D30" t="s">
        <v>38</v>
      </c>
      <c r="E30">
        <v>350</v>
      </c>
      <c r="F30">
        <v>630</v>
      </c>
      <c r="H30">
        <v>896</v>
      </c>
      <c r="I30">
        <v>684</v>
      </c>
      <c r="K30">
        <v>932</v>
      </c>
      <c r="L30">
        <v>938</v>
      </c>
      <c r="M30">
        <v>928</v>
      </c>
      <c r="N30">
        <v>884</v>
      </c>
      <c r="O30">
        <v>1000</v>
      </c>
      <c r="P30">
        <v>984</v>
      </c>
      <c r="Q30">
        <v>614</v>
      </c>
      <c r="R30">
        <v>608</v>
      </c>
      <c r="S30">
        <v>554</v>
      </c>
      <c r="T30">
        <v>564</v>
      </c>
      <c r="U30">
        <v>728</v>
      </c>
      <c r="V30">
        <v>1824</v>
      </c>
      <c r="W30">
        <v>40000</v>
      </c>
      <c r="X30">
        <v>44</v>
      </c>
      <c r="Y30">
        <v>25</v>
      </c>
      <c r="Z30">
        <v>0</v>
      </c>
      <c r="AA30" t="b">
        <v>0</v>
      </c>
      <c r="AB30">
        <v>490</v>
      </c>
      <c r="AC30">
        <v>202</v>
      </c>
      <c r="AD30" t="s">
        <v>34</v>
      </c>
    </row>
    <row r="31" spans="1:30" x14ac:dyDescent="0.25">
      <c r="A31" t="s">
        <v>74</v>
      </c>
      <c r="B31" t="s">
        <v>70</v>
      </c>
      <c r="C31" t="s">
        <v>32</v>
      </c>
      <c r="D31" t="s">
        <v>38</v>
      </c>
      <c r="E31">
        <v>320</v>
      </c>
      <c r="F31">
        <v>440</v>
      </c>
      <c r="H31">
        <v>904</v>
      </c>
      <c r="I31">
        <v>714</v>
      </c>
      <c r="K31">
        <v>942</v>
      </c>
      <c r="L31">
        <v>958</v>
      </c>
      <c r="M31">
        <v>958</v>
      </c>
      <c r="N31">
        <v>908</v>
      </c>
      <c r="O31">
        <v>968</v>
      </c>
      <c r="P31">
        <v>924</v>
      </c>
      <c r="Q31">
        <v>684</v>
      </c>
      <c r="R31">
        <v>674</v>
      </c>
      <c r="S31">
        <v>624</v>
      </c>
      <c r="T31">
        <v>624</v>
      </c>
      <c r="U31">
        <v>718</v>
      </c>
      <c r="V31">
        <v>1821</v>
      </c>
      <c r="W31">
        <v>40000</v>
      </c>
      <c r="X31">
        <v>27</v>
      </c>
      <c r="Y31">
        <v>14</v>
      </c>
      <c r="Z31">
        <v>0</v>
      </c>
      <c r="AA31" t="b">
        <v>0</v>
      </c>
      <c r="AB31">
        <v>380</v>
      </c>
      <c r="AC31">
        <v>205</v>
      </c>
      <c r="AD31" t="s">
        <v>34</v>
      </c>
    </row>
    <row r="32" spans="1:30" x14ac:dyDescent="0.25">
      <c r="A32" t="s">
        <v>75</v>
      </c>
      <c r="B32" t="s">
        <v>76</v>
      </c>
      <c r="C32" t="s">
        <v>47</v>
      </c>
      <c r="D32" t="s">
        <v>38</v>
      </c>
      <c r="E32">
        <v>310</v>
      </c>
      <c r="F32">
        <v>620</v>
      </c>
      <c r="H32">
        <v>906</v>
      </c>
      <c r="I32">
        <v>686</v>
      </c>
      <c r="K32">
        <v>928</v>
      </c>
      <c r="L32">
        <v>948</v>
      </c>
      <c r="M32">
        <v>954</v>
      </c>
      <c r="N32">
        <v>924</v>
      </c>
      <c r="O32">
        <v>842</v>
      </c>
      <c r="P32">
        <v>804</v>
      </c>
      <c r="Q32">
        <v>624</v>
      </c>
      <c r="R32">
        <v>618</v>
      </c>
      <c r="S32">
        <v>564</v>
      </c>
      <c r="T32">
        <v>594</v>
      </c>
      <c r="U32">
        <v>608</v>
      </c>
      <c r="V32">
        <v>1946</v>
      </c>
      <c r="W32">
        <v>28000</v>
      </c>
      <c r="X32">
        <v>4</v>
      </c>
      <c r="Y32">
        <v>0</v>
      </c>
      <c r="Z32">
        <v>0</v>
      </c>
      <c r="AA32" t="b">
        <v>0</v>
      </c>
      <c r="AB32">
        <v>465</v>
      </c>
      <c r="AC32">
        <v>80</v>
      </c>
      <c r="AD32" t="s">
        <v>34</v>
      </c>
    </row>
    <row r="33" spans="1:30" x14ac:dyDescent="0.25">
      <c r="A33" t="s">
        <v>77</v>
      </c>
      <c r="B33" t="s">
        <v>63</v>
      </c>
      <c r="C33" t="s">
        <v>47</v>
      </c>
      <c r="D33" t="s">
        <v>38</v>
      </c>
      <c r="E33">
        <v>300</v>
      </c>
      <c r="F33">
        <v>440</v>
      </c>
      <c r="H33">
        <v>908</v>
      </c>
      <c r="I33">
        <v>714</v>
      </c>
      <c r="K33">
        <v>924</v>
      </c>
      <c r="L33">
        <v>938</v>
      </c>
      <c r="M33">
        <v>934</v>
      </c>
      <c r="N33">
        <v>934</v>
      </c>
      <c r="O33">
        <v>828</v>
      </c>
      <c r="P33">
        <v>764</v>
      </c>
      <c r="Q33">
        <v>684</v>
      </c>
      <c r="R33">
        <v>688</v>
      </c>
      <c r="S33">
        <v>634</v>
      </c>
      <c r="T33">
        <v>654</v>
      </c>
      <c r="U33">
        <v>618</v>
      </c>
      <c r="V33">
        <v>1905</v>
      </c>
      <c r="W33">
        <v>45000</v>
      </c>
      <c r="X33">
        <v>10</v>
      </c>
      <c r="Y33">
        <v>0</v>
      </c>
      <c r="Z33">
        <v>0</v>
      </c>
      <c r="AA33" t="b">
        <v>0</v>
      </c>
      <c r="AB33">
        <v>370</v>
      </c>
      <c r="AC33">
        <v>121</v>
      </c>
      <c r="AD33" t="s">
        <v>34</v>
      </c>
    </row>
    <row r="34" spans="1:30" x14ac:dyDescent="0.25">
      <c r="A34" t="s">
        <v>78</v>
      </c>
      <c r="B34" t="s">
        <v>79</v>
      </c>
      <c r="C34" t="s">
        <v>47</v>
      </c>
      <c r="D34" t="s">
        <v>38</v>
      </c>
      <c r="E34">
        <v>280</v>
      </c>
      <c r="F34">
        <v>260</v>
      </c>
      <c r="H34">
        <v>912</v>
      </c>
      <c r="I34">
        <v>798</v>
      </c>
      <c r="K34">
        <v>944</v>
      </c>
      <c r="L34">
        <v>904</v>
      </c>
      <c r="M34">
        <v>898</v>
      </c>
      <c r="N34">
        <v>944</v>
      </c>
      <c r="O34">
        <v>788</v>
      </c>
      <c r="P34">
        <v>724</v>
      </c>
      <c r="Q34">
        <v>794</v>
      </c>
      <c r="R34">
        <v>838</v>
      </c>
      <c r="S34">
        <v>824</v>
      </c>
      <c r="T34">
        <v>724</v>
      </c>
      <c r="U34">
        <v>604</v>
      </c>
      <c r="V34">
        <v>1877</v>
      </c>
      <c r="W34">
        <v>28000</v>
      </c>
      <c r="X34">
        <v>12</v>
      </c>
      <c r="Y34">
        <v>11</v>
      </c>
      <c r="Z34">
        <v>3</v>
      </c>
      <c r="AA34" t="b">
        <v>0</v>
      </c>
      <c r="AB34">
        <v>270</v>
      </c>
      <c r="AC34">
        <v>149</v>
      </c>
      <c r="AD34" t="s">
        <v>34</v>
      </c>
    </row>
    <row r="35" spans="1:30" x14ac:dyDescent="0.25">
      <c r="A35" t="s">
        <v>80</v>
      </c>
      <c r="B35" t="s">
        <v>36</v>
      </c>
      <c r="C35" t="s">
        <v>37</v>
      </c>
      <c r="D35" t="s">
        <v>38</v>
      </c>
      <c r="E35">
        <v>270</v>
      </c>
      <c r="F35">
        <v>300</v>
      </c>
      <c r="H35">
        <v>914</v>
      </c>
      <c r="I35">
        <v>784</v>
      </c>
      <c r="K35">
        <v>942</v>
      </c>
      <c r="L35">
        <v>948</v>
      </c>
      <c r="M35">
        <v>948</v>
      </c>
      <c r="N35">
        <v>918</v>
      </c>
      <c r="O35">
        <v>1000</v>
      </c>
      <c r="P35">
        <v>984</v>
      </c>
      <c r="Q35">
        <v>724</v>
      </c>
      <c r="R35">
        <v>742</v>
      </c>
      <c r="S35">
        <v>664</v>
      </c>
      <c r="T35">
        <v>624</v>
      </c>
      <c r="U35">
        <v>748</v>
      </c>
      <c r="V35">
        <v>1583</v>
      </c>
      <c r="W35">
        <v>38000</v>
      </c>
      <c r="X35">
        <v>44</v>
      </c>
      <c r="Y35">
        <v>20</v>
      </c>
      <c r="Z35">
        <v>0</v>
      </c>
      <c r="AA35" t="b">
        <v>0</v>
      </c>
      <c r="AB35">
        <v>285</v>
      </c>
      <c r="AC35">
        <v>443</v>
      </c>
      <c r="AD35" t="s">
        <v>34</v>
      </c>
    </row>
    <row r="36" spans="1:30" x14ac:dyDescent="0.25">
      <c r="A36" t="s">
        <v>81</v>
      </c>
      <c r="B36" t="s">
        <v>53</v>
      </c>
      <c r="C36" t="s">
        <v>47</v>
      </c>
      <c r="D36" t="s">
        <v>38</v>
      </c>
      <c r="E36">
        <v>360</v>
      </c>
      <c r="F36">
        <v>470</v>
      </c>
      <c r="H36">
        <v>894</v>
      </c>
      <c r="I36">
        <v>708</v>
      </c>
      <c r="K36">
        <v>914</v>
      </c>
      <c r="L36">
        <v>934</v>
      </c>
      <c r="M36">
        <v>938</v>
      </c>
      <c r="N36">
        <v>914</v>
      </c>
      <c r="O36">
        <v>1000</v>
      </c>
      <c r="P36">
        <v>1000</v>
      </c>
      <c r="Q36">
        <v>664</v>
      </c>
      <c r="R36">
        <v>652</v>
      </c>
      <c r="S36">
        <v>594</v>
      </c>
      <c r="T36">
        <v>604</v>
      </c>
      <c r="U36">
        <v>904</v>
      </c>
      <c r="V36">
        <v>1963</v>
      </c>
      <c r="W36">
        <v>20000</v>
      </c>
      <c r="X36">
        <v>38</v>
      </c>
      <c r="Y36">
        <v>0</v>
      </c>
      <c r="Z36">
        <v>0</v>
      </c>
      <c r="AA36" t="b">
        <v>0</v>
      </c>
      <c r="AB36">
        <v>415</v>
      </c>
      <c r="AC36">
        <v>63</v>
      </c>
      <c r="AD36" t="s">
        <v>34</v>
      </c>
    </row>
    <row r="37" spans="1:30" x14ac:dyDescent="0.25">
      <c r="A37" t="s">
        <v>82</v>
      </c>
      <c r="B37" t="s">
        <v>31</v>
      </c>
      <c r="C37" t="s">
        <v>32</v>
      </c>
      <c r="D37" t="s">
        <v>38</v>
      </c>
      <c r="E37">
        <v>400</v>
      </c>
      <c r="F37">
        <v>220</v>
      </c>
      <c r="H37">
        <v>886</v>
      </c>
      <c r="I37">
        <v>804</v>
      </c>
      <c r="K37">
        <v>934</v>
      </c>
      <c r="L37">
        <v>972</v>
      </c>
      <c r="M37">
        <v>958</v>
      </c>
      <c r="N37">
        <v>918</v>
      </c>
      <c r="O37">
        <v>798</v>
      </c>
      <c r="P37">
        <v>764</v>
      </c>
      <c r="Q37">
        <v>794</v>
      </c>
      <c r="R37">
        <v>848</v>
      </c>
      <c r="S37">
        <v>854</v>
      </c>
      <c r="T37">
        <v>684</v>
      </c>
      <c r="U37">
        <v>628</v>
      </c>
      <c r="V37">
        <v>1919</v>
      </c>
      <c r="W37">
        <v>46000</v>
      </c>
      <c r="X37">
        <v>14</v>
      </c>
      <c r="Y37">
        <v>17</v>
      </c>
      <c r="Z37">
        <v>0</v>
      </c>
      <c r="AA37" t="b">
        <v>0</v>
      </c>
      <c r="AB37">
        <v>310</v>
      </c>
      <c r="AC37">
        <v>107</v>
      </c>
      <c r="AD37" t="s">
        <v>34</v>
      </c>
    </row>
    <row r="38" spans="1:30" x14ac:dyDescent="0.25">
      <c r="A38" t="s">
        <v>83</v>
      </c>
      <c r="B38" t="s">
        <v>60</v>
      </c>
      <c r="C38" t="s">
        <v>61</v>
      </c>
      <c r="D38" t="s">
        <v>38</v>
      </c>
      <c r="E38">
        <v>190</v>
      </c>
      <c r="F38">
        <v>670</v>
      </c>
      <c r="H38">
        <v>938</v>
      </c>
      <c r="I38">
        <v>674</v>
      </c>
      <c r="K38">
        <v>934</v>
      </c>
      <c r="L38">
        <v>958</v>
      </c>
      <c r="M38">
        <v>954</v>
      </c>
      <c r="N38">
        <v>934</v>
      </c>
      <c r="O38">
        <v>1000</v>
      </c>
      <c r="P38">
        <v>1000</v>
      </c>
      <c r="Q38">
        <v>614</v>
      </c>
      <c r="R38">
        <v>598</v>
      </c>
      <c r="S38">
        <v>544</v>
      </c>
      <c r="T38">
        <v>554</v>
      </c>
      <c r="U38">
        <v>718</v>
      </c>
      <c r="V38">
        <v>1949</v>
      </c>
      <c r="W38">
        <v>65000</v>
      </c>
      <c r="X38">
        <v>46</v>
      </c>
      <c r="Y38">
        <v>4</v>
      </c>
      <c r="Z38">
        <v>0</v>
      </c>
      <c r="AA38" t="b">
        <v>0</v>
      </c>
      <c r="AB38">
        <v>430</v>
      </c>
      <c r="AC38">
        <v>77</v>
      </c>
      <c r="AD38" t="s">
        <v>34</v>
      </c>
    </row>
    <row r="39" spans="1:30" x14ac:dyDescent="0.25">
      <c r="A39" t="s">
        <v>84</v>
      </c>
      <c r="B39" t="s">
        <v>85</v>
      </c>
      <c r="C39" t="s">
        <v>37</v>
      </c>
      <c r="D39" t="s">
        <v>38</v>
      </c>
      <c r="F39">
        <v>170</v>
      </c>
      <c r="G39">
        <v>130</v>
      </c>
      <c r="I39">
        <v>834</v>
      </c>
      <c r="J39">
        <v>622</v>
      </c>
      <c r="Q39">
        <v>798</v>
      </c>
      <c r="R39">
        <v>858</v>
      </c>
      <c r="S39">
        <v>864</v>
      </c>
      <c r="T39">
        <v>688</v>
      </c>
      <c r="U39">
        <v>564</v>
      </c>
      <c r="V39">
        <v>2015</v>
      </c>
      <c r="W39">
        <v>48000</v>
      </c>
      <c r="X39">
        <v>20</v>
      </c>
      <c r="Y39">
        <v>22</v>
      </c>
      <c r="Z39">
        <v>4</v>
      </c>
      <c r="AA39" t="b">
        <v>0</v>
      </c>
      <c r="AB39">
        <v>150</v>
      </c>
      <c r="AC39">
        <v>11</v>
      </c>
      <c r="AD39" t="s">
        <v>34</v>
      </c>
    </row>
    <row r="40" spans="1:30" x14ac:dyDescent="0.25">
      <c r="A40" t="s">
        <v>86</v>
      </c>
      <c r="B40" t="s">
        <v>36</v>
      </c>
      <c r="C40" t="s">
        <v>37</v>
      </c>
      <c r="D40" t="s">
        <v>38</v>
      </c>
      <c r="E40">
        <v>560</v>
      </c>
      <c r="F40">
        <v>520</v>
      </c>
      <c r="H40">
        <v>864</v>
      </c>
      <c r="I40">
        <v>702</v>
      </c>
      <c r="K40">
        <v>934</v>
      </c>
      <c r="L40">
        <v>978</v>
      </c>
      <c r="M40">
        <v>974</v>
      </c>
      <c r="N40">
        <v>854</v>
      </c>
      <c r="O40">
        <v>1000</v>
      </c>
      <c r="P40">
        <v>1000</v>
      </c>
      <c r="Q40">
        <v>674</v>
      </c>
      <c r="R40">
        <v>618</v>
      </c>
      <c r="S40">
        <v>554</v>
      </c>
      <c r="T40">
        <v>574</v>
      </c>
      <c r="U40">
        <v>758</v>
      </c>
      <c r="V40">
        <v>1895</v>
      </c>
      <c r="W40">
        <v>12000</v>
      </c>
      <c r="X40">
        <v>72</v>
      </c>
      <c r="Y40">
        <v>18</v>
      </c>
      <c r="Z40">
        <v>0</v>
      </c>
      <c r="AA40" t="b">
        <v>0</v>
      </c>
      <c r="AB40">
        <v>540</v>
      </c>
      <c r="AC40">
        <v>131</v>
      </c>
      <c r="AD40" t="s">
        <v>34</v>
      </c>
    </row>
    <row r="41" spans="1:30" x14ac:dyDescent="0.25">
      <c r="A41" t="s">
        <v>87</v>
      </c>
      <c r="B41" t="s">
        <v>79</v>
      </c>
      <c r="C41" t="s">
        <v>47</v>
      </c>
      <c r="D41" t="s">
        <v>38</v>
      </c>
      <c r="E41">
        <v>510</v>
      </c>
      <c r="F41">
        <v>380</v>
      </c>
      <c r="H41">
        <v>872</v>
      </c>
      <c r="I41">
        <v>748</v>
      </c>
      <c r="K41">
        <v>904</v>
      </c>
      <c r="L41">
        <v>854</v>
      </c>
      <c r="M41">
        <v>838</v>
      </c>
      <c r="N41">
        <v>914</v>
      </c>
      <c r="O41">
        <v>754</v>
      </c>
      <c r="P41">
        <v>684</v>
      </c>
      <c r="Q41">
        <v>734</v>
      </c>
      <c r="R41">
        <v>778</v>
      </c>
      <c r="S41">
        <v>764</v>
      </c>
      <c r="T41">
        <v>664</v>
      </c>
      <c r="U41">
        <v>594</v>
      </c>
      <c r="V41">
        <v>1897</v>
      </c>
      <c r="W41">
        <v>23000</v>
      </c>
      <c r="X41">
        <v>13</v>
      </c>
      <c r="Y41">
        <v>11</v>
      </c>
      <c r="Z41">
        <v>3</v>
      </c>
      <c r="AA41" t="b">
        <v>0</v>
      </c>
      <c r="AB41">
        <v>445</v>
      </c>
      <c r="AC41">
        <v>129</v>
      </c>
      <c r="AD41" t="s">
        <v>34</v>
      </c>
    </row>
    <row r="42" spans="1:30" x14ac:dyDescent="0.25">
      <c r="A42" t="s">
        <v>88</v>
      </c>
      <c r="B42" t="s">
        <v>89</v>
      </c>
      <c r="C42" t="s">
        <v>37</v>
      </c>
      <c r="D42" t="s">
        <v>38</v>
      </c>
      <c r="E42">
        <v>550</v>
      </c>
      <c r="F42">
        <v>610</v>
      </c>
      <c r="H42">
        <v>866</v>
      </c>
      <c r="I42">
        <v>688</v>
      </c>
      <c r="K42">
        <v>908</v>
      </c>
      <c r="L42">
        <v>914</v>
      </c>
      <c r="M42">
        <v>912</v>
      </c>
      <c r="N42">
        <v>888</v>
      </c>
      <c r="O42">
        <v>1000</v>
      </c>
      <c r="P42">
        <v>1000</v>
      </c>
      <c r="Q42">
        <v>644</v>
      </c>
      <c r="R42">
        <v>638</v>
      </c>
      <c r="S42">
        <v>584</v>
      </c>
      <c r="T42">
        <v>604</v>
      </c>
      <c r="U42">
        <v>844</v>
      </c>
      <c r="V42">
        <v>1632</v>
      </c>
      <c r="W42">
        <v>39000</v>
      </c>
      <c r="X42">
        <v>31</v>
      </c>
      <c r="Y42">
        <v>16</v>
      </c>
      <c r="Z42">
        <v>0</v>
      </c>
      <c r="AA42" t="b">
        <v>0</v>
      </c>
      <c r="AB42">
        <v>580</v>
      </c>
      <c r="AC42">
        <v>394</v>
      </c>
      <c r="AD42" t="s">
        <v>34</v>
      </c>
    </row>
    <row r="43" spans="1:30" x14ac:dyDescent="0.25">
      <c r="A43" t="s">
        <v>90</v>
      </c>
      <c r="B43" t="s">
        <v>76</v>
      </c>
      <c r="C43" t="s">
        <v>47</v>
      </c>
      <c r="D43" t="s">
        <v>38</v>
      </c>
      <c r="E43">
        <v>830</v>
      </c>
      <c r="F43">
        <v>1340</v>
      </c>
      <c r="H43">
        <v>844</v>
      </c>
      <c r="I43">
        <v>604</v>
      </c>
      <c r="K43">
        <v>884</v>
      </c>
      <c r="L43">
        <v>904</v>
      </c>
      <c r="M43">
        <v>908</v>
      </c>
      <c r="N43">
        <v>884</v>
      </c>
      <c r="O43">
        <v>804</v>
      </c>
      <c r="P43">
        <v>744</v>
      </c>
      <c r="Q43">
        <v>534</v>
      </c>
      <c r="R43">
        <v>508</v>
      </c>
      <c r="S43">
        <v>474</v>
      </c>
      <c r="T43">
        <v>494</v>
      </c>
      <c r="U43">
        <v>684</v>
      </c>
      <c r="V43">
        <v>1971</v>
      </c>
      <c r="W43">
        <v>22000</v>
      </c>
      <c r="X43">
        <v>15</v>
      </c>
      <c r="Y43">
        <v>0</v>
      </c>
      <c r="Z43">
        <v>0</v>
      </c>
      <c r="AA43" t="b">
        <v>0</v>
      </c>
      <c r="AB43">
        <v>1085</v>
      </c>
      <c r="AC43">
        <v>55</v>
      </c>
      <c r="AD43" t="s">
        <v>34</v>
      </c>
    </row>
    <row r="44" spans="1:30" x14ac:dyDescent="0.25">
      <c r="A44" t="s">
        <v>91</v>
      </c>
      <c r="B44" t="s">
        <v>60</v>
      </c>
      <c r="C44" t="s">
        <v>61</v>
      </c>
      <c r="D44" t="s">
        <v>38</v>
      </c>
      <c r="E44">
        <v>300</v>
      </c>
      <c r="F44">
        <v>780</v>
      </c>
      <c r="H44">
        <v>908</v>
      </c>
      <c r="I44">
        <v>664</v>
      </c>
      <c r="K44">
        <v>932</v>
      </c>
      <c r="L44">
        <v>938</v>
      </c>
      <c r="M44">
        <v>938</v>
      </c>
      <c r="N44">
        <v>914</v>
      </c>
      <c r="O44">
        <v>1000</v>
      </c>
      <c r="P44">
        <v>1000</v>
      </c>
      <c r="Q44">
        <v>594</v>
      </c>
      <c r="R44">
        <v>578</v>
      </c>
      <c r="S44">
        <v>524</v>
      </c>
      <c r="T44">
        <v>544</v>
      </c>
      <c r="U44">
        <v>724</v>
      </c>
      <c r="V44">
        <v>1946</v>
      </c>
      <c r="W44">
        <v>24000</v>
      </c>
      <c r="X44">
        <v>40</v>
      </c>
      <c r="Y44">
        <v>6</v>
      </c>
      <c r="Z44">
        <v>0</v>
      </c>
      <c r="AA44" t="b">
        <v>0</v>
      </c>
      <c r="AB44">
        <v>540</v>
      </c>
      <c r="AC44">
        <v>80</v>
      </c>
      <c r="AD44" t="s">
        <v>34</v>
      </c>
    </row>
    <row r="45" spans="1:30" x14ac:dyDescent="0.25">
      <c r="A45" t="s">
        <v>92</v>
      </c>
      <c r="B45" t="s">
        <v>31</v>
      </c>
      <c r="C45" t="s">
        <v>32</v>
      </c>
      <c r="D45" t="s">
        <v>33</v>
      </c>
      <c r="E45">
        <v>650</v>
      </c>
      <c r="F45">
        <v>270</v>
      </c>
      <c r="H45">
        <v>858</v>
      </c>
      <c r="I45">
        <v>794</v>
      </c>
      <c r="K45">
        <v>934</v>
      </c>
      <c r="L45">
        <v>984</v>
      </c>
      <c r="M45">
        <v>968</v>
      </c>
      <c r="N45">
        <v>924</v>
      </c>
      <c r="O45">
        <v>784</v>
      </c>
      <c r="P45">
        <v>724</v>
      </c>
      <c r="Q45">
        <v>804</v>
      </c>
      <c r="R45">
        <v>824</v>
      </c>
      <c r="S45">
        <v>868</v>
      </c>
      <c r="T45">
        <v>674</v>
      </c>
      <c r="U45">
        <v>624</v>
      </c>
      <c r="V45">
        <v>1900</v>
      </c>
      <c r="W45">
        <v>15818</v>
      </c>
      <c r="X45">
        <v>50</v>
      </c>
      <c r="Y45">
        <v>21</v>
      </c>
      <c r="Z45">
        <v>1</v>
      </c>
      <c r="AA45" t="b">
        <v>0</v>
      </c>
      <c r="AB45">
        <v>460</v>
      </c>
      <c r="AC45">
        <v>126</v>
      </c>
      <c r="AD45" t="s">
        <v>34</v>
      </c>
    </row>
    <row r="46" spans="1:30" x14ac:dyDescent="0.25">
      <c r="A46" t="s">
        <v>93</v>
      </c>
      <c r="B46" t="s">
        <v>31</v>
      </c>
      <c r="C46" t="s">
        <v>32</v>
      </c>
      <c r="D46" t="s">
        <v>33</v>
      </c>
      <c r="E46">
        <v>380</v>
      </c>
      <c r="F46">
        <v>270</v>
      </c>
      <c r="H46">
        <v>892</v>
      </c>
      <c r="I46">
        <v>794</v>
      </c>
      <c r="K46">
        <v>938</v>
      </c>
      <c r="L46">
        <v>984</v>
      </c>
      <c r="M46">
        <v>968</v>
      </c>
      <c r="N46">
        <v>904</v>
      </c>
      <c r="O46">
        <v>924</v>
      </c>
      <c r="P46">
        <v>984</v>
      </c>
      <c r="Q46">
        <v>784</v>
      </c>
      <c r="R46">
        <v>824</v>
      </c>
      <c r="S46">
        <v>844</v>
      </c>
      <c r="T46">
        <v>684</v>
      </c>
      <c r="U46">
        <v>784</v>
      </c>
      <c r="V46">
        <v>1831</v>
      </c>
      <c r="W46">
        <v>27000</v>
      </c>
      <c r="X46">
        <v>47</v>
      </c>
      <c r="Y46">
        <v>12</v>
      </c>
      <c r="Z46">
        <v>0</v>
      </c>
      <c r="AA46" t="b">
        <v>0</v>
      </c>
      <c r="AB46">
        <v>325</v>
      </c>
      <c r="AC46">
        <v>195</v>
      </c>
      <c r="AD46" t="s">
        <v>34</v>
      </c>
    </row>
    <row r="47" spans="1:30" x14ac:dyDescent="0.25">
      <c r="A47" t="s">
        <v>94</v>
      </c>
      <c r="B47" t="s">
        <v>60</v>
      </c>
      <c r="C47" t="s">
        <v>61</v>
      </c>
      <c r="D47" t="s">
        <v>38</v>
      </c>
      <c r="E47">
        <v>370</v>
      </c>
      <c r="F47">
        <v>880</v>
      </c>
      <c r="H47">
        <v>894</v>
      </c>
      <c r="I47">
        <v>642</v>
      </c>
      <c r="K47">
        <v>924</v>
      </c>
      <c r="L47">
        <v>938</v>
      </c>
      <c r="M47">
        <v>934</v>
      </c>
      <c r="N47">
        <v>912</v>
      </c>
      <c r="O47">
        <v>1000</v>
      </c>
      <c r="P47">
        <v>1000</v>
      </c>
      <c r="Q47">
        <v>574</v>
      </c>
      <c r="R47">
        <v>558</v>
      </c>
      <c r="S47">
        <v>504</v>
      </c>
      <c r="T47">
        <v>524</v>
      </c>
      <c r="U47">
        <v>714</v>
      </c>
      <c r="V47">
        <v>1958</v>
      </c>
      <c r="W47">
        <v>86000</v>
      </c>
      <c r="X47">
        <v>50</v>
      </c>
      <c r="Y47">
        <v>0</v>
      </c>
      <c r="Z47">
        <v>0</v>
      </c>
      <c r="AA47" t="b">
        <v>0</v>
      </c>
      <c r="AB47">
        <v>625</v>
      </c>
      <c r="AC47">
        <v>68</v>
      </c>
      <c r="AD47" t="s">
        <v>34</v>
      </c>
    </row>
    <row r="48" spans="1:30" x14ac:dyDescent="0.25">
      <c r="A48" t="s">
        <v>95</v>
      </c>
      <c r="B48" t="s">
        <v>89</v>
      </c>
      <c r="C48" t="s">
        <v>37</v>
      </c>
      <c r="D48" t="s">
        <v>38</v>
      </c>
      <c r="E48">
        <v>470</v>
      </c>
      <c r="F48">
        <v>510</v>
      </c>
      <c r="H48">
        <v>880</v>
      </c>
      <c r="I48">
        <v>704</v>
      </c>
      <c r="K48">
        <v>904</v>
      </c>
      <c r="L48">
        <v>908</v>
      </c>
      <c r="M48">
        <v>904</v>
      </c>
      <c r="N48">
        <v>904</v>
      </c>
      <c r="O48">
        <v>1000</v>
      </c>
      <c r="P48">
        <v>1000</v>
      </c>
      <c r="Q48">
        <v>664</v>
      </c>
      <c r="R48">
        <v>652</v>
      </c>
      <c r="S48">
        <v>604</v>
      </c>
      <c r="T48">
        <v>624</v>
      </c>
      <c r="U48">
        <v>844</v>
      </c>
      <c r="V48">
        <v>1842</v>
      </c>
      <c r="W48">
        <v>26000</v>
      </c>
      <c r="X48">
        <v>38</v>
      </c>
      <c r="Y48">
        <v>0</v>
      </c>
      <c r="Z48">
        <v>0</v>
      </c>
      <c r="AA48" t="b">
        <v>0</v>
      </c>
      <c r="AB48">
        <v>490</v>
      </c>
      <c r="AC48">
        <v>184</v>
      </c>
      <c r="AD48" t="s">
        <v>34</v>
      </c>
    </row>
    <row r="49" spans="1:30" x14ac:dyDescent="0.25">
      <c r="A49" t="s">
        <v>96</v>
      </c>
      <c r="B49" t="s">
        <v>70</v>
      </c>
      <c r="C49" t="s">
        <v>32</v>
      </c>
      <c r="D49" t="s">
        <v>38</v>
      </c>
      <c r="E49">
        <v>420</v>
      </c>
      <c r="F49">
        <v>410</v>
      </c>
      <c r="H49">
        <v>884</v>
      </c>
      <c r="I49">
        <v>734</v>
      </c>
      <c r="K49">
        <v>934</v>
      </c>
      <c r="L49">
        <v>958</v>
      </c>
      <c r="M49">
        <v>954</v>
      </c>
      <c r="N49">
        <v>912</v>
      </c>
      <c r="O49">
        <v>964</v>
      </c>
      <c r="P49">
        <v>924</v>
      </c>
      <c r="Q49">
        <v>704</v>
      </c>
      <c r="R49">
        <v>708</v>
      </c>
      <c r="S49">
        <v>644</v>
      </c>
      <c r="T49">
        <v>664</v>
      </c>
      <c r="U49">
        <v>738</v>
      </c>
      <c r="V49">
        <v>1908</v>
      </c>
      <c r="W49">
        <v>68000</v>
      </c>
      <c r="X49">
        <v>30</v>
      </c>
      <c r="Y49">
        <v>7</v>
      </c>
      <c r="Z49">
        <v>0</v>
      </c>
      <c r="AA49" t="b">
        <v>0</v>
      </c>
      <c r="AB49">
        <v>415</v>
      </c>
      <c r="AC49">
        <v>118</v>
      </c>
      <c r="AD49" t="s">
        <v>34</v>
      </c>
    </row>
    <row r="50" spans="1:30" x14ac:dyDescent="0.25">
      <c r="A50" t="s">
        <v>97</v>
      </c>
      <c r="B50" t="s">
        <v>98</v>
      </c>
      <c r="C50" t="s">
        <v>37</v>
      </c>
      <c r="D50" t="s">
        <v>38</v>
      </c>
      <c r="E50">
        <v>370</v>
      </c>
      <c r="F50">
        <v>340</v>
      </c>
      <c r="G50">
        <v>450</v>
      </c>
      <c r="H50">
        <v>892</v>
      </c>
      <c r="I50">
        <v>764</v>
      </c>
      <c r="J50">
        <v>448</v>
      </c>
      <c r="K50">
        <v>914</v>
      </c>
      <c r="L50">
        <v>938</v>
      </c>
      <c r="M50">
        <v>934</v>
      </c>
      <c r="N50">
        <v>918</v>
      </c>
      <c r="O50">
        <v>1000</v>
      </c>
      <c r="P50">
        <v>1000</v>
      </c>
      <c r="Q50">
        <v>724</v>
      </c>
      <c r="R50">
        <v>728</v>
      </c>
      <c r="S50">
        <v>664</v>
      </c>
      <c r="T50">
        <v>684</v>
      </c>
      <c r="U50">
        <v>778</v>
      </c>
      <c r="V50">
        <v>1868</v>
      </c>
      <c r="W50">
        <v>50000</v>
      </c>
      <c r="X50">
        <v>29</v>
      </c>
      <c r="Y50">
        <v>4</v>
      </c>
      <c r="Z50">
        <v>0</v>
      </c>
      <c r="AA50" t="b">
        <v>1</v>
      </c>
      <c r="AB50">
        <v>387</v>
      </c>
      <c r="AC50">
        <v>158</v>
      </c>
      <c r="AD50" t="s">
        <v>34</v>
      </c>
    </row>
    <row r="51" spans="1:30" x14ac:dyDescent="0.25">
      <c r="A51" t="s">
        <v>99</v>
      </c>
      <c r="B51" t="s">
        <v>98</v>
      </c>
      <c r="C51" t="s">
        <v>37</v>
      </c>
      <c r="D51" t="s">
        <v>38</v>
      </c>
      <c r="E51">
        <v>540</v>
      </c>
      <c r="F51">
        <v>320</v>
      </c>
      <c r="G51">
        <v>420</v>
      </c>
      <c r="H51">
        <v>868</v>
      </c>
      <c r="I51">
        <v>774</v>
      </c>
      <c r="J51">
        <v>458</v>
      </c>
      <c r="K51">
        <v>898</v>
      </c>
      <c r="L51">
        <v>904</v>
      </c>
      <c r="M51">
        <v>908</v>
      </c>
      <c r="N51">
        <v>884</v>
      </c>
      <c r="O51">
        <v>964</v>
      </c>
      <c r="P51">
        <v>924</v>
      </c>
      <c r="Q51">
        <v>738</v>
      </c>
      <c r="R51">
        <v>754</v>
      </c>
      <c r="S51">
        <v>704</v>
      </c>
      <c r="T51">
        <v>684</v>
      </c>
      <c r="U51">
        <v>728</v>
      </c>
      <c r="V51">
        <v>1472</v>
      </c>
      <c r="W51">
        <v>53000</v>
      </c>
      <c r="X51">
        <v>13</v>
      </c>
      <c r="Y51">
        <v>13</v>
      </c>
      <c r="Z51">
        <v>0</v>
      </c>
      <c r="AA51" t="b">
        <v>1</v>
      </c>
      <c r="AB51">
        <v>427</v>
      </c>
      <c r="AC51">
        <v>554</v>
      </c>
      <c r="AD51" t="s">
        <v>34</v>
      </c>
    </row>
    <row r="52" spans="1:30" x14ac:dyDescent="0.25">
      <c r="A52" t="s">
        <v>100</v>
      </c>
      <c r="B52" t="s">
        <v>101</v>
      </c>
      <c r="C52" t="s">
        <v>102</v>
      </c>
      <c r="D52" t="s">
        <v>38</v>
      </c>
      <c r="E52">
        <v>960</v>
      </c>
      <c r="F52">
        <v>1430</v>
      </c>
      <c r="G52">
        <v>810</v>
      </c>
      <c r="H52">
        <v>834</v>
      </c>
      <c r="I52">
        <v>592</v>
      </c>
      <c r="J52">
        <v>334</v>
      </c>
      <c r="K52">
        <v>874</v>
      </c>
      <c r="L52">
        <v>888</v>
      </c>
      <c r="M52">
        <v>884</v>
      </c>
      <c r="N52">
        <v>874</v>
      </c>
      <c r="O52">
        <v>704</v>
      </c>
      <c r="P52">
        <v>664</v>
      </c>
      <c r="Q52">
        <v>504</v>
      </c>
      <c r="R52">
        <v>498</v>
      </c>
      <c r="S52">
        <v>464</v>
      </c>
      <c r="T52">
        <v>484</v>
      </c>
      <c r="U52">
        <v>444</v>
      </c>
      <c r="V52">
        <v>1934</v>
      </c>
      <c r="W52">
        <v>96000</v>
      </c>
      <c r="X52">
        <v>3</v>
      </c>
      <c r="Y52">
        <v>1</v>
      </c>
      <c r="Z52">
        <v>0</v>
      </c>
      <c r="AA52" t="b">
        <v>1</v>
      </c>
      <c r="AB52">
        <v>1067</v>
      </c>
      <c r="AC52">
        <v>92</v>
      </c>
      <c r="AD52" t="s">
        <v>34</v>
      </c>
    </row>
    <row r="53" spans="1:30" x14ac:dyDescent="0.25">
      <c r="A53" t="s">
        <v>103</v>
      </c>
      <c r="B53" t="s">
        <v>104</v>
      </c>
      <c r="C53" t="s">
        <v>105</v>
      </c>
      <c r="D53" t="s">
        <v>38</v>
      </c>
      <c r="E53">
        <v>1500</v>
      </c>
      <c r="F53">
        <v>1780</v>
      </c>
      <c r="H53">
        <v>784</v>
      </c>
      <c r="I53">
        <v>558</v>
      </c>
      <c r="K53">
        <v>834</v>
      </c>
      <c r="L53">
        <v>848</v>
      </c>
      <c r="M53">
        <v>844</v>
      </c>
      <c r="N53">
        <v>824</v>
      </c>
      <c r="O53">
        <v>884</v>
      </c>
      <c r="P53">
        <v>844</v>
      </c>
      <c r="Q53">
        <v>484</v>
      </c>
      <c r="R53">
        <v>478</v>
      </c>
      <c r="S53">
        <v>434</v>
      </c>
      <c r="T53">
        <v>454</v>
      </c>
      <c r="U53">
        <v>604</v>
      </c>
      <c r="V53">
        <v>1829</v>
      </c>
      <c r="W53">
        <v>29000</v>
      </c>
      <c r="X53">
        <v>36</v>
      </c>
      <c r="Y53">
        <v>0</v>
      </c>
      <c r="Z53">
        <v>0</v>
      </c>
      <c r="AA53" t="b">
        <v>0</v>
      </c>
      <c r="AB53">
        <v>1640</v>
      </c>
      <c r="AC53">
        <v>197</v>
      </c>
      <c r="AD53" t="s">
        <v>34</v>
      </c>
    </row>
    <row r="54" spans="1:30" x14ac:dyDescent="0.25">
      <c r="A54" t="s">
        <v>106</v>
      </c>
      <c r="B54" t="s">
        <v>107</v>
      </c>
      <c r="C54" t="s">
        <v>47</v>
      </c>
      <c r="D54" t="s">
        <v>38</v>
      </c>
      <c r="E54">
        <v>1180</v>
      </c>
      <c r="F54">
        <v>3510</v>
      </c>
      <c r="H54">
        <v>824</v>
      </c>
      <c r="I54">
        <v>464</v>
      </c>
      <c r="K54">
        <v>844</v>
      </c>
      <c r="L54">
        <v>884</v>
      </c>
      <c r="M54">
        <v>888</v>
      </c>
      <c r="N54">
        <v>854</v>
      </c>
      <c r="O54">
        <v>544</v>
      </c>
      <c r="P54">
        <v>524</v>
      </c>
      <c r="Q54">
        <v>374</v>
      </c>
      <c r="R54">
        <v>368</v>
      </c>
      <c r="S54">
        <v>324</v>
      </c>
      <c r="T54">
        <v>344</v>
      </c>
      <c r="U54">
        <v>404</v>
      </c>
      <c r="V54">
        <v>1958</v>
      </c>
      <c r="W54">
        <v>10000</v>
      </c>
      <c r="X54">
        <v>5</v>
      </c>
      <c r="Y54">
        <v>0</v>
      </c>
      <c r="Z54">
        <v>0</v>
      </c>
      <c r="AA54" t="b">
        <v>0</v>
      </c>
      <c r="AB54">
        <v>2345</v>
      </c>
      <c r="AC54">
        <v>68</v>
      </c>
      <c r="AD54" t="s">
        <v>34</v>
      </c>
    </row>
    <row r="55" spans="1:30" x14ac:dyDescent="0.25">
      <c r="A55" t="s">
        <v>108</v>
      </c>
      <c r="B55" t="s">
        <v>109</v>
      </c>
      <c r="C55" t="s">
        <v>110</v>
      </c>
      <c r="D55" t="s">
        <v>38</v>
      </c>
      <c r="E55">
        <v>670</v>
      </c>
      <c r="F55">
        <v>2340</v>
      </c>
      <c r="H55">
        <v>854</v>
      </c>
      <c r="I55">
        <v>514</v>
      </c>
      <c r="K55">
        <v>874</v>
      </c>
      <c r="L55">
        <v>898</v>
      </c>
      <c r="M55">
        <v>894</v>
      </c>
      <c r="N55">
        <v>874</v>
      </c>
      <c r="O55">
        <v>684</v>
      </c>
      <c r="P55">
        <v>624</v>
      </c>
      <c r="Q55">
        <v>394</v>
      </c>
      <c r="R55">
        <v>388</v>
      </c>
      <c r="S55">
        <v>344</v>
      </c>
      <c r="T55">
        <v>364</v>
      </c>
      <c r="U55">
        <v>524</v>
      </c>
      <c r="V55">
        <v>1963</v>
      </c>
      <c r="W55">
        <v>10000</v>
      </c>
      <c r="X55">
        <v>16</v>
      </c>
      <c r="Y55">
        <v>0</v>
      </c>
      <c r="Z55">
        <v>0</v>
      </c>
      <c r="AA55" t="b">
        <v>0</v>
      </c>
      <c r="AB55">
        <v>1505</v>
      </c>
      <c r="AC55">
        <v>63</v>
      </c>
      <c r="AD55" t="s">
        <v>34</v>
      </c>
    </row>
    <row r="56" spans="1:30" x14ac:dyDescent="0.25">
      <c r="A56" t="s">
        <v>111</v>
      </c>
      <c r="B56" t="s">
        <v>112</v>
      </c>
      <c r="C56" t="s">
        <v>37</v>
      </c>
      <c r="D56" t="s">
        <v>38</v>
      </c>
      <c r="E56">
        <v>980</v>
      </c>
      <c r="H56">
        <v>832</v>
      </c>
      <c r="K56">
        <v>874</v>
      </c>
      <c r="L56">
        <v>898</v>
      </c>
      <c r="M56">
        <v>894</v>
      </c>
      <c r="N56">
        <v>874</v>
      </c>
      <c r="O56">
        <v>984</v>
      </c>
      <c r="P56">
        <v>924</v>
      </c>
      <c r="V56">
        <v>1863</v>
      </c>
      <c r="W56">
        <v>47000</v>
      </c>
      <c r="X56">
        <v>21</v>
      </c>
      <c r="Y56">
        <v>0</v>
      </c>
      <c r="Z56">
        <v>0</v>
      </c>
      <c r="AA56" t="b">
        <v>0</v>
      </c>
      <c r="AB56">
        <v>980</v>
      </c>
      <c r="AC56">
        <v>163</v>
      </c>
      <c r="AD56" t="s">
        <v>34</v>
      </c>
    </row>
    <row r="57" spans="1:30" x14ac:dyDescent="0.25">
      <c r="A57" t="s">
        <v>113</v>
      </c>
      <c r="B57" t="s">
        <v>114</v>
      </c>
      <c r="C57" t="s">
        <v>37</v>
      </c>
      <c r="D57" t="s">
        <v>38</v>
      </c>
      <c r="E57">
        <v>2840</v>
      </c>
      <c r="F57">
        <v>2510</v>
      </c>
      <c r="H57">
        <v>724</v>
      </c>
      <c r="I57">
        <v>504</v>
      </c>
      <c r="K57">
        <v>784</v>
      </c>
      <c r="L57">
        <v>748</v>
      </c>
      <c r="M57">
        <v>754</v>
      </c>
      <c r="N57">
        <v>744</v>
      </c>
      <c r="O57">
        <v>724</v>
      </c>
      <c r="P57">
        <v>684</v>
      </c>
      <c r="Q57">
        <v>414</v>
      </c>
      <c r="R57">
        <v>408</v>
      </c>
      <c r="S57">
        <v>374</v>
      </c>
      <c r="T57">
        <v>394</v>
      </c>
      <c r="U57">
        <v>564</v>
      </c>
      <c r="V57">
        <v>1816</v>
      </c>
      <c r="W57">
        <v>55000</v>
      </c>
      <c r="X57">
        <v>14</v>
      </c>
      <c r="Y57">
        <v>0</v>
      </c>
      <c r="Z57">
        <v>0</v>
      </c>
      <c r="AA57" t="b">
        <v>0</v>
      </c>
      <c r="AB57">
        <v>2675</v>
      </c>
      <c r="AC57">
        <v>210</v>
      </c>
      <c r="AD57" t="s">
        <v>34</v>
      </c>
    </row>
    <row r="58" spans="1:30" x14ac:dyDescent="0.25">
      <c r="A58" t="s">
        <v>115</v>
      </c>
      <c r="B58" t="s">
        <v>116</v>
      </c>
      <c r="C58" t="s">
        <v>47</v>
      </c>
      <c r="D58" t="s">
        <v>33</v>
      </c>
      <c r="E58">
        <v>4880</v>
      </c>
      <c r="H58">
        <v>624</v>
      </c>
      <c r="K58">
        <v>644</v>
      </c>
      <c r="L58">
        <v>628</v>
      </c>
      <c r="M58">
        <v>634</v>
      </c>
      <c r="N58">
        <v>644</v>
      </c>
      <c r="O58">
        <v>784</v>
      </c>
      <c r="P58">
        <v>824</v>
      </c>
      <c r="V58">
        <v>1987</v>
      </c>
      <c r="W58">
        <v>9000</v>
      </c>
      <c r="X58">
        <v>80</v>
      </c>
      <c r="Y58">
        <v>0</v>
      </c>
      <c r="Z58">
        <v>0</v>
      </c>
      <c r="AA58" t="b">
        <v>0</v>
      </c>
      <c r="AB58">
        <v>4880</v>
      </c>
      <c r="AC58">
        <v>39</v>
      </c>
      <c r="AD58"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B4CE7-499C-45C3-AB97-F04AF4975ADB}">
  <dimension ref="A4:D101"/>
  <sheetViews>
    <sheetView topLeftCell="A97" zoomScale="62" zoomScaleNormal="62" workbookViewId="0">
      <selection activeCell="Q32" sqref="Q32"/>
    </sheetView>
  </sheetViews>
  <sheetFormatPr defaultRowHeight="15" x14ac:dyDescent="0.25"/>
  <cols>
    <col min="1" max="1" width="31.42578125" bestFit="1" customWidth="1"/>
    <col min="2" max="2" width="23.140625" bestFit="1" customWidth="1"/>
    <col min="3" max="3" width="9.42578125" bestFit="1" customWidth="1"/>
    <col min="4" max="4" width="16" bestFit="1" customWidth="1"/>
    <col min="5" max="6" width="2" bestFit="1" customWidth="1"/>
    <col min="7" max="7" width="3" bestFit="1" customWidth="1"/>
    <col min="8" max="8" width="11.28515625" bestFit="1" customWidth="1"/>
    <col min="9" max="9" width="15.28515625" bestFit="1" customWidth="1"/>
    <col min="10" max="10" width="10.140625" bestFit="1" customWidth="1"/>
    <col min="11" max="11" width="16.140625" bestFit="1" customWidth="1"/>
    <col min="12" max="12" width="17.7109375" bestFit="1" customWidth="1"/>
    <col min="13" max="13" width="10.7109375" bestFit="1" customWidth="1"/>
    <col min="14" max="14" width="23" bestFit="1" customWidth="1"/>
    <col min="15" max="15" width="23.5703125" bestFit="1" customWidth="1"/>
    <col min="16" max="16" width="6" bestFit="1" customWidth="1"/>
    <col min="17" max="17" width="19.28515625" bestFit="1" customWidth="1"/>
    <col min="18" max="18" width="20.140625" bestFit="1" customWidth="1"/>
    <col min="19" max="19" width="15.85546875" bestFit="1" customWidth="1"/>
    <col min="20" max="20" width="12.28515625" bestFit="1" customWidth="1"/>
    <col min="21" max="21" width="3.85546875" bestFit="1" customWidth="1"/>
    <col min="22" max="22" width="16.5703125" bestFit="1" customWidth="1"/>
    <col min="23" max="23" width="4.42578125" bestFit="1" customWidth="1"/>
    <col min="24" max="24" width="18" bestFit="1" customWidth="1"/>
    <col min="25" max="26" width="14.28515625" bestFit="1" customWidth="1"/>
    <col min="27" max="27" width="5" bestFit="1" customWidth="1"/>
    <col min="28" max="28" width="21.42578125" bestFit="1" customWidth="1"/>
    <col min="29" max="29" width="16.7109375" bestFit="1" customWidth="1"/>
    <col min="30" max="30" width="20" bestFit="1" customWidth="1"/>
    <col min="31" max="31" width="19.42578125" bestFit="1" customWidth="1"/>
    <col min="32" max="32" width="24" bestFit="1" customWidth="1"/>
    <col min="33" max="33" width="18.42578125" bestFit="1" customWidth="1"/>
    <col min="34" max="34" width="17.7109375" bestFit="1" customWidth="1"/>
    <col min="35" max="35" width="23.7109375" bestFit="1" customWidth="1"/>
    <col min="36" max="36" width="18.7109375" bestFit="1" customWidth="1"/>
    <col min="37" max="37" width="11.85546875" bestFit="1" customWidth="1"/>
    <col min="38" max="38" width="4.42578125" bestFit="1" customWidth="1"/>
    <col min="39" max="39" width="5.7109375" bestFit="1" customWidth="1"/>
    <col min="40" max="40" width="18.42578125" bestFit="1" customWidth="1"/>
    <col min="41" max="41" width="22.85546875" bestFit="1" customWidth="1"/>
    <col min="42" max="42" width="17.85546875" bestFit="1" customWidth="1"/>
    <col min="43" max="43" width="14.85546875" bestFit="1" customWidth="1"/>
    <col min="44" max="44" width="17" bestFit="1" customWidth="1"/>
    <col min="45" max="45" width="17.5703125" bestFit="1" customWidth="1"/>
    <col min="46" max="46" width="18.7109375" bestFit="1" customWidth="1"/>
    <col min="47" max="47" width="18.140625" bestFit="1" customWidth="1"/>
    <col min="48" max="48" width="16.140625" bestFit="1" customWidth="1"/>
    <col min="49" max="49" width="19.85546875" bestFit="1" customWidth="1"/>
    <col min="50" max="50" width="16.5703125" bestFit="1" customWidth="1"/>
    <col min="51" max="51" width="14.42578125" bestFit="1" customWidth="1"/>
    <col min="52" max="52" width="13.28515625" bestFit="1" customWidth="1"/>
    <col min="53" max="53" width="15" bestFit="1" customWidth="1"/>
    <col min="54" max="54" width="15.140625" bestFit="1" customWidth="1"/>
    <col min="55" max="55" width="22.85546875" bestFit="1" customWidth="1"/>
    <col min="56" max="56" width="19.28515625" bestFit="1" customWidth="1"/>
    <col min="57" max="57" width="13.85546875" bestFit="1" customWidth="1"/>
    <col min="58" max="58" width="14.5703125" bestFit="1" customWidth="1"/>
    <col min="59" max="59" width="11.28515625" bestFit="1" customWidth="1"/>
  </cols>
  <sheetData>
    <row r="4" spans="1:4" x14ac:dyDescent="0.25">
      <c r="A4" s="1" t="s">
        <v>120</v>
      </c>
      <c r="B4" s="1" t="s">
        <v>119</v>
      </c>
    </row>
    <row r="5" spans="1:4" x14ac:dyDescent="0.25">
      <c r="A5" s="1" t="s">
        <v>117</v>
      </c>
      <c r="B5" t="s">
        <v>33</v>
      </c>
      <c r="C5" t="s">
        <v>38</v>
      </c>
      <c r="D5" t="s">
        <v>118</v>
      </c>
    </row>
    <row r="6" spans="1:4" x14ac:dyDescent="0.25">
      <c r="A6" s="2" t="s">
        <v>60</v>
      </c>
      <c r="B6" s="5"/>
      <c r="C6" s="5">
        <v>5</v>
      </c>
      <c r="D6" s="5">
        <v>5</v>
      </c>
    </row>
    <row r="7" spans="1:4" x14ac:dyDescent="0.25">
      <c r="A7" s="2" t="s">
        <v>101</v>
      </c>
      <c r="B7" s="5"/>
      <c r="C7" s="5">
        <v>1</v>
      </c>
      <c r="D7" s="5">
        <v>1</v>
      </c>
    </row>
    <row r="8" spans="1:4" x14ac:dyDescent="0.25">
      <c r="A8" s="2" t="s">
        <v>70</v>
      </c>
      <c r="B8" s="5"/>
      <c r="C8" s="5">
        <v>3</v>
      </c>
      <c r="D8" s="5">
        <v>3</v>
      </c>
    </row>
    <row r="9" spans="1:4" x14ac:dyDescent="0.25">
      <c r="A9" s="2" t="s">
        <v>63</v>
      </c>
      <c r="B9" s="5"/>
      <c r="C9" s="5">
        <v>3</v>
      </c>
      <c r="D9" s="5">
        <v>3</v>
      </c>
    </row>
    <row r="10" spans="1:4" x14ac:dyDescent="0.25">
      <c r="A10" s="2" t="s">
        <v>85</v>
      </c>
      <c r="B10" s="5"/>
      <c r="C10" s="5">
        <v>1</v>
      </c>
      <c r="D10" s="5">
        <v>1</v>
      </c>
    </row>
    <row r="11" spans="1:4" x14ac:dyDescent="0.25">
      <c r="A11" s="2" t="s">
        <v>98</v>
      </c>
      <c r="B11" s="5"/>
      <c r="C11" s="5">
        <v>2</v>
      </c>
      <c r="D11" s="5">
        <v>2</v>
      </c>
    </row>
    <row r="12" spans="1:4" x14ac:dyDescent="0.25">
      <c r="A12" s="2" t="s">
        <v>53</v>
      </c>
      <c r="B12" s="5"/>
      <c r="C12" s="5">
        <v>2</v>
      </c>
      <c r="D12" s="5">
        <v>2</v>
      </c>
    </row>
    <row r="13" spans="1:4" x14ac:dyDescent="0.25">
      <c r="A13" s="2" t="s">
        <v>107</v>
      </c>
      <c r="B13" s="5"/>
      <c r="C13" s="5">
        <v>1</v>
      </c>
      <c r="D13" s="5">
        <v>1</v>
      </c>
    </row>
    <row r="14" spans="1:4" x14ac:dyDescent="0.25">
      <c r="A14" s="2" t="s">
        <v>112</v>
      </c>
      <c r="B14" s="5"/>
      <c r="C14" s="5">
        <v>1</v>
      </c>
      <c r="D14" s="5">
        <v>1</v>
      </c>
    </row>
    <row r="15" spans="1:4" x14ac:dyDescent="0.25">
      <c r="A15" s="2" t="s">
        <v>79</v>
      </c>
      <c r="B15" s="5"/>
      <c r="C15" s="5">
        <v>2</v>
      </c>
      <c r="D15" s="5">
        <v>2</v>
      </c>
    </row>
    <row r="16" spans="1:4" x14ac:dyDescent="0.25">
      <c r="A16" s="2" t="s">
        <v>116</v>
      </c>
      <c r="B16" s="5">
        <v>1</v>
      </c>
      <c r="C16" s="5"/>
      <c r="D16" s="5">
        <v>1</v>
      </c>
    </row>
    <row r="17" spans="1:4" x14ac:dyDescent="0.25">
      <c r="A17" s="2" t="s">
        <v>89</v>
      </c>
      <c r="B17" s="5"/>
      <c r="C17" s="5">
        <v>2</v>
      </c>
      <c r="D17" s="5">
        <v>2</v>
      </c>
    </row>
    <row r="18" spans="1:4" x14ac:dyDescent="0.25">
      <c r="A18" s="2" t="s">
        <v>114</v>
      </c>
      <c r="B18" s="5"/>
      <c r="C18" s="5">
        <v>1</v>
      </c>
      <c r="D18" s="5">
        <v>1</v>
      </c>
    </row>
    <row r="19" spans="1:4" x14ac:dyDescent="0.25">
      <c r="A19" s="2" t="s">
        <v>109</v>
      </c>
      <c r="B19" s="5"/>
      <c r="C19" s="5">
        <v>1</v>
      </c>
      <c r="D19" s="5">
        <v>1</v>
      </c>
    </row>
    <row r="20" spans="1:4" x14ac:dyDescent="0.25">
      <c r="A20" s="2" t="s">
        <v>46</v>
      </c>
      <c r="B20" s="5"/>
      <c r="C20" s="5">
        <v>2</v>
      </c>
      <c r="D20" s="5">
        <v>2</v>
      </c>
    </row>
    <row r="21" spans="1:4" x14ac:dyDescent="0.25">
      <c r="A21" s="2" t="s">
        <v>104</v>
      </c>
      <c r="B21" s="5"/>
      <c r="C21" s="5">
        <v>1</v>
      </c>
      <c r="D21" s="5">
        <v>1</v>
      </c>
    </row>
    <row r="22" spans="1:4" x14ac:dyDescent="0.25">
      <c r="A22" s="2" t="s">
        <v>76</v>
      </c>
      <c r="B22" s="5"/>
      <c r="C22" s="5">
        <v>2</v>
      </c>
      <c r="D22" s="5">
        <v>2</v>
      </c>
    </row>
    <row r="23" spans="1:4" x14ac:dyDescent="0.25">
      <c r="A23" s="2" t="s">
        <v>44</v>
      </c>
      <c r="B23" s="5"/>
      <c r="C23" s="5">
        <v>1</v>
      </c>
      <c r="D23" s="5">
        <v>1</v>
      </c>
    </row>
    <row r="24" spans="1:4" x14ac:dyDescent="0.25">
      <c r="A24" s="2" t="s">
        <v>36</v>
      </c>
      <c r="B24" s="5"/>
      <c r="C24" s="5">
        <v>8</v>
      </c>
      <c r="D24" s="5">
        <v>8</v>
      </c>
    </row>
    <row r="25" spans="1:4" x14ac:dyDescent="0.25">
      <c r="A25" s="2" t="s">
        <v>31</v>
      </c>
      <c r="B25" s="5">
        <v>14</v>
      </c>
      <c r="C25" s="5">
        <v>3</v>
      </c>
      <c r="D25" s="5">
        <v>17</v>
      </c>
    </row>
    <row r="26" spans="1:4" x14ac:dyDescent="0.25">
      <c r="A26" s="2" t="s">
        <v>118</v>
      </c>
      <c r="B26" s="5">
        <v>15</v>
      </c>
      <c r="C26" s="5">
        <v>42</v>
      </c>
      <c r="D26" s="5">
        <v>57</v>
      </c>
    </row>
    <row r="30" spans="1:4" x14ac:dyDescent="0.25">
      <c r="A30" s="1" t="s">
        <v>117</v>
      </c>
      <c r="B30" t="s">
        <v>122</v>
      </c>
      <c r="C30" t="s">
        <v>121</v>
      </c>
    </row>
    <row r="31" spans="1:4" x14ac:dyDescent="0.25">
      <c r="A31" s="2" t="s">
        <v>91</v>
      </c>
      <c r="B31" s="5">
        <v>6</v>
      </c>
      <c r="C31" s="5">
        <v>0</v>
      </c>
    </row>
    <row r="32" spans="1:4" x14ac:dyDescent="0.25">
      <c r="A32" s="2" t="s">
        <v>49</v>
      </c>
      <c r="B32" s="5">
        <v>46</v>
      </c>
      <c r="C32" s="5">
        <v>6</v>
      </c>
    </row>
    <row r="33" spans="1:3" x14ac:dyDescent="0.25">
      <c r="A33" s="2" t="s">
        <v>92</v>
      </c>
      <c r="B33" s="5">
        <v>21</v>
      </c>
      <c r="C33" s="5">
        <v>1</v>
      </c>
    </row>
    <row r="34" spans="1:3" x14ac:dyDescent="0.25">
      <c r="A34" s="2" t="s">
        <v>57</v>
      </c>
      <c r="B34" s="5">
        <v>101</v>
      </c>
      <c r="C34" s="5">
        <v>0</v>
      </c>
    </row>
    <row r="35" spans="1:3" x14ac:dyDescent="0.25">
      <c r="A35" s="2" t="s">
        <v>55</v>
      </c>
      <c r="B35" s="5">
        <v>45</v>
      </c>
      <c r="C35" s="5">
        <v>0</v>
      </c>
    </row>
    <row r="36" spans="1:3" x14ac:dyDescent="0.25">
      <c r="A36" s="2" t="s">
        <v>81</v>
      </c>
      <c r="B36" s="5">
        <v>0</v>
      </c>
      <c r="C36" s="5">
        <v>0</v>
      </c>
    </row>
    <row r="37" spans="1:3" x14ac:dyDescent="0.25">
      <c r="A37" s="2" t="s">
        <v>95</v>
      </c>
      <c r="B37" s="5">
        <v>0</v>
      </c>
      <c r="C37" s="5">
        <v>0</v>
      </c>
    </row>
    <row r="38" spans="1:3" x14ac:dyDescent="0.25">
      <c r="A38" s="2" t="s">
        <v>68</v>
      </c>
      <c r="B38" s="5">
        <v>13</v>
      </c>
      <c r="C38" s="5">
        <v>0</v>
      </c>
    </row>
    <row r="39" spans="1:3" x14ac:dyDescent="0.25">
      <c r="A39" s="2" t="s">
        <v>43</v>
      </c>
      <c r="B39" s="5">
        <v>32</v>
      </c>
      <c r="C39" s="5">
        <v>1</v>
      </c>
    </row>
    <row r="40" spans="1:3" x14ac:dyDescent="0.25">
      <c r="A40" s="2" t="s">
        <v>77</v>
      </c>
      <c r="B40" s="5">
        <v>0</v>
      </c>
      <c r="C40" s="5">
        <v>0</v>
      </c>
    </row>
    <row r="41" spans="1:3" x14ac:dyDescent="0.25">
      <c r="A41" s="2" t="s">
        <v>41</v>
      </c>
      <c r="B41" s="5">
        <v>162</v>
      </c>
      <c r="C41" s="5">
        <v>4</v>
      </c>
    </row>
    <row r="42" spans="1:3" x14ac:dyDescent="0.25">
      <c r="A42" s="2" t="s">
        <v>106</v>
      </c>
      <c r="B42" s="5">
        <v>0</v>
      </c>
      <c r="C42" s="5">
        <v>0</v>
      </c>
    </row>
    <row r="43" spans="1:3" x14ac:dyDescent="0.25">
      <c r="A43" s="2" t="s">
        <v>35</v>
      </c>
      <c r="B43" s="5">
        <v>15</v>
      </c>
      <c r="C43" s="5">
        <v>0</v>
      </c>
    </row>
    <row r="44" spans="1:3" x14ac:dyDescent="0.25">
      <c r="A44" s="2" t="s">
        <v>66</v>
      </c>
      <c r="B44" s="5">
        <v>38</v>
      </c>
      <c r="C44" s="5">
        <v>0</v>
      </c>
    </row>
    <row r="45" spans="1:3" x14ac:dyDescent="0.25">
      <c r="A45" s="2" t="s">
        <v>90</v>
      </c>
      <c r="B45" s="5">
        <v>0</v>
      </c>
      <c r="C45" s="5">
        <v>0</v>
      </c>
    </row>
    <row r="46" spans="1:3" x14ac:dyDescent="0.25">
      <c r="A46" s="2" t="s">
        <v>108</v>
      </c>
      <c r="B46" s="5">
        <v>0</v>
      </c>
      <c r="C46" s="5">
        <v>0</v>
      </c>
    </row>
    <row r="47" spans="1:3" x14ac:dyDescent="0.25">
      <c r="A47" s="2" t="s">
        <v>72</v>
      </c>
      <c r="B47" s="5">
        <v>12</v>
      </c>
      <c r="C47" s="5">
        <v>0</v>
      </c>
    </row>
    <row r="48" spans="1:3" x14ac:dyDescent="0.25">
      <c r="A48" s="2" t="s">
        <v>87</v>
      </c>
      <c r="B48" s="5">
        <v>11</v>
      </c>
      <c r="C48" s="5">
        <v>3</v>
      </c>
    </row>
    <row r="49" spans="1:3" x14ac:dyDescent="0.25">
      <c r="A49" s="2" t="s">
        <v>99</v>
      </c>
      <c r="B49" s="5">
        <v>13</v>
      </c>
      <c r="C49" s="5">
        <v>0</v>
      </c>
    </row>
    <row r="50" spans="1:3" x14ac:dyDescent="0.25">
      <c r="A50" s="2" t="s">
        <v>86</v>
      </c>
      <c r="B50" s="5">
        <v>18</v>
      </c>
      <c r="C50" s="5">
        <v>0</v>
      </c>
    </row>
    <row r="51" spans="1:3" x14ac:dyDescent="0.25">
      <c r="A51" s="2" t="s">
        <v>74</v>
      </c>
      <c r="B51" s="5">
        <v>14</v>
      </c>
      <c r="C51" s="5">
        <v>0</v>
      </c>
    </row>
    <row r="52" spans="1:3" x14ac:dyDescent="0.25">
      <c r="A52" s="2" t="s">
        <v>30</v>
      </c>
      <c r="B52" s="5">
        <v>100</v>
      </c>
      <c r="C52" s="5">
        <v>1</v>
      </c>
    </row>
    <row r="53" spans="1:3" x14ac:dyDescent="0.25">
      <c r="A53" s="2" t="s">
        <v>94</v>
      </c>
      <c r="B53" s="5">
        <v>0</v>
      </c>
      <c r="C53" s="5">
        <v>0</v>
      </c>
    </row>
    <row r="54" spans="1:3" x14ac:dyDescent="0.25">
      <c r="A54" s="2" t="s">
        <v>54</v>
      </c>
      <c r="B54" s="5">
        <v>0</v>
      </c>
      <c r="C54" s="5">
        <v>0</v>
      </c>
    </row>
    <row r="55" spans="1:3" x14ac:dyDescent="0.25">
      <c r="A55" s="2" t="s">
        <v>45</v>
      </c>
      <c r="B55" s="5">
        <v>3</v>
      </c>
      <c r="C55" s="5">
        <v>0</v>
      </c>
    </row>
    <row r="56" spans="1:3" x14ac:dyDescent="0.25">
      <c r="A56" s="2" t="s">
        <v>93</v>
      </c>
      <c r="B56" s="5">
        <v>12</v>
      </c>
      <c r="C56" s="5">
        <v>0</v>
      </c>
    </row>
    <row r="57" spans="1:3" x14ac:dyDescent="0.25">
      <c r="A57" s="2" t="s">
        <v>84</v>
      </c>
      <c r="B57" s="5">
        <v>22</v>
      </c>
      <c r="C57" s="5">
        <v>4</v>
      </c>
    </row>
    <row r="58" spans="1:3" x14ac:dyDescent="0.25">
      <c r="A58" s="2" t="s">
        <v>62</v>
      </c>
      <c r="B58" s="5">
        <v>6</v>
      </c>
      <c r="C58" s="5">
        <v>0</v>
      </c>
    </row>
    <row r="59" spans="1:3" x14ac:dyDescent="0.25">
      <c r="A59" s="2" t="s">
        <v>111</v>
      </c>
      <c r="B59" s="5">
        <v>0</v>
      </c>
      <c r="C59" s="5">
        <v>0</v>
      </c>
    </row>
    <row r="60" spans="1:3" x14ac:dyDescent="0.25">
      <c r="A60" s="2" t="s">
        <v>51</v>
      </c>
      <c r="B60" s="5">
        <v>64</v>
      </c>
      <c r="C60" s="5">
        <v>1</v>
      </c>
    </row>
    <row r="61" spans="1:3" x14ac:dyDescent="0.25">
      <c r="A61" s="2" t="s">
        <v>75</v>
      </c>
      <c r="B61" s="5">
        <v>0</v>
      </c>
      <c r="C61" s="5">
        <v>0</v>
      </c>
    </row>
    <row r="62" spans="1:3" x14ac:dyDescent="0.25">
      <c r="A62" s="2" t="s">
        <v>39</v>
      </c>
      <c r="B62" s="5">
        <v>85</v>
      </c>
      <c r="C62" s="5">
        <v>22</v>
      </c>
    </row>
    <row r="63" spans="1:3" x14ac:dyDescent="0.25">
      <c r="A63" s="2" t="s">
        <v>115</v>
      </c>
      <c r="B63" s="5">
        <v>0</v>
      </c>
      <c r="C63" s="5">
        <v>0</v>
      </c>
    </row>
    <row r="64" spans="1:3" x14ac:dyDescent="0.25">
      <c r="A64" s="2" t="s">
        <v>97</v>
      </c>
      <c r="B64" s="5">
        <v>4</v>
      </c>
      <c r="C64" s="5">
        <v>0</v>
      </c>
    </row>
    <row r="65" spans="1:3" x14ac:dyDescent="0.25">
      <c r="A65" s="2" t="s">
        <v>64</v>
      </c>
      <c r="B65" s="5">
        <v>8</v>
      </c>
      <c r="C65" s="5">
        <v>0</v>
      </c>
    </row>
    <row r="66" spans="1:3" x14ac:dyDescent="0.25">
      <c r="A66" s="2" t="s">
        <v>65</v>
      </c>
      <c r="B66" s="5">
        <v>107</v>
      </c>
      <c r="C66" s="5">
        <v>0</v>
      </c>
    </row>
    <row r="67" spans="1:3" x14ac:dyDescent="0.25">
      <c r="A67" s="2" t="s">
        <v>48</v>
      </c>
      <c r="B67" s="5">
        <v>14</v>
      </c>
      <c r="C67" s="5">
        <v>0</v>
      </c>
    </row>
    <row r="68" spans="1:3" x14ac:dyDescent="0.25">
      <c r="A68" s="2" t="s">
        <v>82</v>
      </c>
      <c r="B68" s="5">
        <v>17</v>
      </c>
      <c r="C68" s="5">
        <v>0</v>
      </c>
    </row>
    <row r="69" spans="1:3" x14ac:dyDescent="0.25">
      <c r="A69" s="2" t="s">
        <v>88</v>
      </c>
      <c r="B69" s="5">
        <v>16</v>
      </c>
      <c r="C69" s="5">
        <v>0</v>
      </c>
    </row>
    <row r="70" spans="1:3" x14ac:dyDescent="0.25">
      <c r="A70" s="2" t="s">
        <v>96</v>
      </c>
      <c r="B70" s="5">
        <v>7</v>
      </c>
      <c r="C70" s="5">
        <v>0</v>
      </c>
    </row>
    <row r="71" spans="1:3" x14ac:dyDescent="0.25">
      <c r="A71" s="2" t="s">
        <v>103</v>
      </c>
      <c r="B71" s="5">
        <v>0</v>
      </c>
      <c r="C71" s="5">
        <v>0</v>
      </c>
    </row>
    <row r="72" spans="1:3" x14ac:dyDescent="0.25">
      <c r="A72" s="2" t="s">
        <v>50</v>
      </c>
      <c r="B72" s="5">
        <v>100</v>
      </c>
      <c r="C72" s="5">
        <v>1</v>
      </c>
    </row>
    <row r="73" spans="1:3" x14ac:dyDescent="0.25">
      <c r="A73" s="2" t="s">
        <v>80</v>
      </c>
      <c r="B73" s="5">
        <v>20</v>
      </c>
      <c r="C73" s="5">
        <v>0</v>
      </c>
    </row>
    <row r="74" spans="1:3" x14ac:dyDescent="0.25">
      <c r="A74" s="2" t="s">
        <v>52</v>
      </c>
      <c r="B74" s="5">
        <v>0</v>
      </c>
      <c r="C74" s="5">
        <v>0</v>
      </c>
    </row>
    <row r="75" spans="1:3" x14ac:dyDescent="0.25">
      <c r="A75" s="2" t="s">
        <v>73</v>
      </c>
      <c r="B75" s="5">
        <v>25</v>
      </c>
      <c r="C75" s="5">
        <v>0</v>
      </c>
    </row>
    <row r="76" spans="1:3" x14ac:dyDescent="0.25">
      <c r="A76" s="2" t="s">
        <v>59</v>
      </c>
      <c r="B76" s="5">
        <v>8</v>
      </c>
      <c r="C76" s="5">
        <v>0</v>
      </c>
    </row>
    <row r="77" spans="1:3" x14ac:dyDescent="0.25">
      <c r="A77" s="2" t="s">
        <v>71</v>
      </c>
      <c r="B77" s="5">
        <v>26</v>
      </c>
      <c r="C77" s="5">
        <v>1</v>
      </c>
    </row>
    <row r="78" spans="1:3" x14ac:dyDescent="0.25">
      <c r="A78" s="2" t="s">
        <v>58</v>
      </c>
      <c r="B78" s="5">
        <v>8</v>
      </c>
      <c r="C78" s="5">
        <v>0</v>
      </c>
    </row>
    <row r="79" spans="1:3" x14ac:dyDescent="0.25">
      <c r="A79" s="2" t="s">
        <v>100</v>
      </c>
      <c r="B79" s="5">
        <v>1</v>
      </c>
      <c r="C79" s="5">
        <v>0</v>
      </c>
    </row>
    <row r="80" spans="1:3" x14ac:dyDescent="0.25">
      <c r="A80" s="2" t="s">
        <v>67</v>
      </c>
      <c r="B80" s="5">
        <v>5</v>
      </c>
      <c r="C80" s="5">
        <v>0</v>
      </c>
    </row>
    <row r="81" spans="1:3" x14ac:dyDescent="0.25">
      <c r="A81" s="2" t="s">
        <v>78</v>
      </c>
      <c r="B81" s="5">
        <v>11</v>
      </c>
      <c r="C81" s="5">
        <v>3</v>
      </c>
    </row>
    <row r="82" spans="1:3" x14ac:dyDescent="0.25">
      <c r="A82" s="2" t="s">
        <v>69</v>
      </c>
      <c r="B82" s="5">
        <v>10</v>
      </c>
      <c r="C82" s="5">
        <v>0</v>
      </c>
    </row>
    <row r="83" spans="1:3" x14ac:dyDescent="0.25">
      <c r="A83" s="2" t="s">
        <v>113</v>
      </c>
      <c r="B83" s="5">
        <v>0</v>
      </c>
      <c r="C83" s="5">
        <v>0</v>
      </c>
    </row>
    <row r="84" spans="1:3" x14ac:dyDescent="0.25">
      <c r="A84" s="2" t="s">
        <v>42</v>
      </c>
      <c r="B84" s="5">
        <v>121</v>
      </c>
      <c r="C84" s="5">
        <v>1</v>
      </c>
    </row>
    <row r="85" spans="1:3" x14ac:dyDescent="0.25">
      <c r="A85" s="2" t="s">
        <v>40</v>
      </c>
      <c r="B85" s="5">
        <v>72</v>
      </c>
      <c r="C85" s="5">
        <v>0</v>
      </c>
    </row>
    <row r="86" spans="1:3" x14ac:dyDescent="0.25">
      <c r="A86" s="2" t="s">
        <v>83</v>
      </c>
      <c r="B86" s="5">
        <v>4</v>
      </c>
      <c r="C86" s="5">
        <v>0</v>
      </c>
    </row>
    <row r="87" spans="1:3" x14ac:dyDescent="0.25">
      <c r="A87" s="2" t="s">
        <v>56</v>
      </c>
      <c r="B87" s="5">
        <v>65</v>
      </c>
      <c r="C87" s="5">
        <v>1</v>
      </c>
    </row>
    <row r="88" spans="1:3" x14ac:dyDescent="0.25">
      <c r="A88" s="2" t="s">
        <v>118</v>
      </c>
      <c r="B88" s="5">
        <v>1488</v>
      </c>
      <c r="C88" s="5">
        <v>50</v>
      </c>
    </row>
    <row r="93" spans="1:3" x14ac:dyDescent="0.25">
      <c r="A93" s="1" t="s">
        <v>117</v>
      </c>
      <c r="B93" t="s">
        <v>123</v>
      </c>
    </row>
    <row r="94" spans="1:3" x14ac:dyDescent="0.25">
      <c r="A94" s="2" t="s">
        <v>105</v>
      </c>
      <c r="B94" s="5">
        <v>1</v>
      </c>
    </row>
    <row r="95" spans="1:3" x14ac:dyDescent="0.25">
      <c r="A95" s="2" t="s">
        <v>47</v>
      </c>
      <c r="B95" s="5">
        <v>13</v>
      </c>
    </row>
    <row r="96" spans="1:3" x14ac:dyDescent="0.25">
      <c r="A96" s="2" t="s">
        <v>37</v>
      </c>
      <c r="B96" s="5">
        <v>16</v>
      </c>
    </row>
    <row r="97" spans="1:2" x14ac:dyDescent="0.25">
      <c r="A97" s="2" t="s">
        <v>102</v>
      </c>
      <c r="B97" s="5">
        <v>1</v>
      </c>
    </row>
    <row r="98" spans="1:2" x14ac:dyDescent="0.25">
      <c r="A98" s="2" t="s">
        <v>110</v>
      </c>
      <c r="B98" s="5">
        <v>1</v>
      </c>
    </row>
    <row r="99" spans="1:2" x14ac:dyDescent="0.25">
      <c r="A99" s="2" t="s">
        <v>32</v>
      </c>
      <c r="B99" s="5">
        <v>20</v>
      </c>
    </row>
    <row r="100" spans="1:2" x14ac:dyDescent="0.25">
      <c r="A100" s="2" t="s">
        <v>61</v>
      </c>
      <c r="B100" s="5">
        <v>5</v>
      </c>
    </row>
    <row r="101" spans="1:2" x14ac:dyDescent="0.25">
      <c r="A101" s="2" t="s">
        <v>118</v>
      </c>
      <c r="B101" s="5">
        <v>57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6098-81B1-4F54-90F7-064F34DBE812}">
  <dimension ref="A1:X5"/>
  <sheetViews>
    <sheetView showGridLines="0" tabSelected="1" zoomScale="57" zoomScaleNormal="57" workbookViewId="0">
      <selection activeCell="Z6" sqref="Z6"/>
    </sheetView>
  </sheetViews>
  <sheetFormatPr defaultRowHeight="15" x14ac:dyDescent="0.25"/>
  <sheetData>
    <row r="1" spans="1:24" x14ac:dyDescent="0.25">
      <c r="A1" s="3" t="s">
        <v>124</v>
      </c>
      <c r="B1" s="4"/>
      <c r="C1" s="4"/>
      <c r="D1" s="4"/>
      <c r="E1" s="4"/>
      <c r="F1" s="4"/>
      <c r="G1" s="4"/>
      <c r="H1" s="4"/>
      <c r="I1" s="4"/>
      <c r="J1" s="4"/>
      <c r="K1" s="4"/>
      <c r="L1" s="4"/>
      <c r="M1" s="4"/>
      <c r="N1" s="4"/>
      <c r="O1" s="4"/>
      <c r="P1" s="4"/>
      <c r="Q1" s="4"/>
      <c r="R1" s="4"/>
      <c r="S1" s="4"/>
      <c r="T1" s="4"/>
      <c r="U1" s="4"/>
      <c r="V1" s="4"/>
      <c r="W1" s="4"/>
      <c r="X1" s="4"/>
    </row>
    <row r="2" spans="1:24" x14ac:dyDescent="0.25">
      <c r="A2" s="4"/>
      <c r="B2" s="4"/>
      <c r="C2" s="4"/>
      <c r="D2" s="4"/>
      <c r="E2" s="4"/>
      <c r="F2" s="4"/>
      <c r="G2" s="4"/>
      <c r="H2" s="4"/>
      <c r="I2" s="4"/>
      <c r="J2" s="4"/>
      <c r="K2" s="4"/>
      <c r="L2" s="4"/>
      <c r="M2" s="4"/>
      <c r="N2" s="4"/>
      <c r="O2" s="4"/>
      <c r="P2" s="4"/>
      <c r="Q2" s="4"/>
      <c r="R2" s="4"/>
      <c r="S2" s="4"/>
      <c r="T2" s="4"/>
      <c r="U2" s="4"/>
      <c r="V2" s="4"/>
      <c r="W2" s="4"/>
      <c r="X2" s="4"/>
    </row>
    <row r="3" spans="1:24" x14ac:dyDescent="0.25">
      <c r="A3" s="4"/>
      <c r="B3" s="4"/>
      <c r="C3" s="4"/>
      <c r="D3" s="4"/>
      <c r="E3" s="4"/>
      <c r="F3" s="4"/>
      <c r="G3" s="4"/>
      <c r="H3" s="4"/>
      <c r="I3" s="4"/>
      <c r="J3" s="4"/>
      <c r="K3" s="4"/>
      <c r="L3" s="4"/>
      <c r="M3" s="4"/>
      <c r="N3" s="4"/>
      <c r="O3" s="4"/>
      <c r="P3" s="4"/>
      <c r="Q3" s="4"/>
      <c r="R3" s="4"/>
      <c r="S3" s="4"/>
      <c r="T3" s="4"/>
      <c r="U3" s="4"/>
      <c r="V3" s="4"/>
      <c r="W3" s="4"/>
      <c r="X3" s="4"/>
    </row>
    <row r="4" spans="1:24" x14ac:dyDescent="0.25">
      <c r="A4" s="4"/>
      <c r="B4" s="4"/>
      <c r="C4" s="4"/>
      <c r="D4" s="4"/>
      <c r="E4" s="4"/>
      <c r="F4" s="4"/>
      <c r="G4" s="4"/>
      <c r="H4" s="4"/>
      <c r="I4" s="4"/>
      <c r="J4" s="4"/>
      <c r="K4" s="4"/>
      <c r="L4" s="4"/>
      <c r="M4" s="4"/>
      <c r="N4" s="4"/>
      <c r="O4" s="4"/>
      <c r="P4" s="4"/>
      <c r="Q4" s="4"/>
      <c r="R4" s="4"/>
      <c r="S4" s="4"/>
      <c r="T4" s="4"/>
      <c r="U4" s="4"/>
      <c r="V4" s="4"/>
      <c r="W4" s="4"/>
      <c r="X4" s="4"/>
    </row>
    <row r="5" spans="1:24" x14ac:dyDescent="0.25">
      <c r="A5" s="4"/>
      <c r="B5" s="4"/>
      <c r="C5" s="4"/>
      <c r="D5" s="4"/>
      <c r="E5" s="4"/>
      <c r="F5" s="4"/>
      <c r="G5" s="4"/>
      <c r="H5" s="4"/>
      <c r="I5" s="4"/>
      <c r="J5" s="4"/>
      <c r="K5" s="4"/>
      <c r="L5" s="4"/>
      <c r="M5" s="4"/>
      <c r="N5" s="4"/>
      <c r="O5" s="4"/>
      <c r="P5" s="4"/>
      <c r="Q5" s="4"/>
      <c r="R5" s="4"/>
      <c r="S5" s="4"/>
      <c r="T5" s="4"/>
      <c r="U5" s="4"/>
      <c r="V5" s="4"/>
      <c r="W5" s="4"/>
      <c r="X5" s="4"/>
    </row>
  </sheetData>
  <mergeCells count="1">
    <mergeCell ref="A1:X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60BB94-1626-4097-B29E-6308653C61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world_university_rankings_2026</vt:lpstr>
      <vt:lpstr>Worksheet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firdaus ramadhan</dc:creator>
  <cp:lastModifiedBy>firdaus ramadhan</cp:lastModifiedBy>
  <dcterms:created xsi:type="dcterms:W3CDTF">2026-05-11T03:34:55Z</dcterms:created>
  <dcterms:modified xsi:type="dcterms:W3CDTF">2026-05-31T09:29:16Z</dcterms:modified>
</cp:coreProperties>
</file>