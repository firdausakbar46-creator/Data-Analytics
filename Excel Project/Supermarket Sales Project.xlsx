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sus\Downloads\data analytics project 1\Excel Project\"/>
    </mc:Choice>
  </mc:AlternateContent>
  <xr:revisionPtr revIDLastSave="0" documentId="8_{327421FD-CA7F-4E4D-A1C3-C455EB19ED63}" xr6:coauthVersionLast="47" xr6:coauthVersionMax="47" xr10:uidLastSave="{00000000-0000-0000-0000-000000000000}"/>
  <bookViews>
    <workbookView xWindow="-120" yWindow="-120" windowWidth="20730" windowHeight="11760" firstSheet="2" activeTab="3" xr2:uid="{13F4AE79-2971-4DD1-83EB-84B9C5A6F743}"/>
  </bookViews>
  <sheets>
    <sheet name="SuperMarket Sales" sheetId="2" r:id="rId1"/>
    <sheet name="Working Sheet" sheetId="3" r:id="rId2"/>
    <sheet name="Pivot Table" sheetId="4" r:id="rId3"/>
    <sheet name="Dashboard" sheetId="5" r:id="rId4"/>
  </sheets>
  <definedNames>
    <definedName name="_xlnm._FilterDatabase" localSheetId="1" hidden="1">'Working Sheet'!$A$1:$J$71</definedName>
    <definedName name="Slicer_Retail_Price_Buckets">#N/A</definedName>
  </definedNames>
  <calcPr calcId="191029"/>
  <pivotCaches>
    <pivotCache cacheId="7"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5" i="3" l="1"/>
  <c r="I6" i="3"/>
  <c r="I9" i="3"/>
  <c r="I10" i="3"/>
  <c r="I13" i="3"/>
  <c r="I14" i="3"/>
  <c r="I17" i="3"/>
  <c r="I18" i="3"/>
  <c r="I21" i="3"/>
  <c r="I22" i="3"/>
  <c r="I25" i="3"/>
  <c r="I26" i="3"/>
  <c r="I29" i="3"/>
  <c r="I30" i="3"/>
  <c r="I33" i="3"/>
  <c r="I34" i="3"/>
  <c r="I37" i="3"/>
  <c r="I38" i="3"/>
  <c r="I41" i="3"/>
  <c r="I42" i="3"/>
  <c r="I45" i="3"/>
  <c r="I46" i="3"/>
  <c r="I49" i="3"/>
  <c r="I50" i="3"/>
  <c r="I53" i="3"/>
  <c r="I54" i="3"/>
  <c r="I57" i="3"/>
  <c r="I58" i="3"/>
  <c r="I61" i="3"/>
  <c r="I62" i="3"/>
  <c r="I65" i="3"/>
  <c r="I66" i="3"/>
  <c r="I69" i="3"/>
  <c r="I70" i="3"/>
  <c r="H3" i="3"/>
  <c r="I3" i="3" s="1"/>
  <c r="H4" i="3"/>
  <c r="I4" i="3" s="1"/>
  <c r="H5" i="3"/>
  <c r="H6" i="3"/>
  <c r="H7" i="3"/>
  <c r="I7" i="3" s="1"/>
  <c r="H8" i="3"/>
  <c r="I8" i="3" s="1"/>
  <c r="H9" i="3"/>
  <c r="H10" i="3"/>
  <c r="H11" i="3"/>
  <c r="I11" i="3" s="1"/>
  <c r="H12" i="3"/>
  <c r="I12" i="3" s="1"/>
  <c r="H13" i="3"/>
  <c r="H14" i="3"/>
  <c r="H15" i="3"/>
  <c r="I15" i="3" s="1"/>
  <c r="H16" i="3"/>
  <c r="I16" i="3" s="1"/>
  <c r="H17" i="3"/>
  <c r="H18" i="3"/>
  <c r="H19" i="3"/>
  <c r="I19" i="3" s="1"/>
  <c r="H20" i="3"/>
  <c r="I20" i="3" s="1"/>
  <c r="H21" i="3"/>
  <c r="H22" i="3"/>
  <c r="H23" i="3"/>
  <c r="I23" i="3" s="1"/>
  <c r="H24" i="3"/>
  <c r="I24" i="3" s="1"/>
  <c r="H25" i="3"/>
  <c r="H26" i="3"/>
  <c r="H27" i="3"/>
  <c r="I27" i="3" s="1"/>
  <c r="H28" i="3"/>
  <c r="I28" i="3" s="1"/>
  <c r="H29" i="3"/>
  <c r="H30" i="3"/>
  <c r="H31" i="3"/>
  <c r="I31" i="3" s="1"/>
  <c r="H32" i="3"/>
  <c r="I32" i="3" s="1"/>
  <c r="H33" i="3"/>
  <c r="H34" i="3"/>
  <c r="H35" i="3"/>
  <c r="I35" i="3" s="1"/>
  <c r="H36" i="3"/>
  <c r="I36" i="3" s="1"/>
  <c r="H37" i="3"/>
  <c r="H38" i="3"/>
  <c r="H39" i="3"/>
  <c r="I39" i="3" s="1"/>
  <c r="H40" i="3"/>
  <c r="I40" i="3" s="1"/>
  <c r="H41" i="3"/>
  <c r="H42" i="3"/>
  <c r="H43" i="3"/>
  <c r="I43" i="3" s="1"/>
  <c r="H44" i="3"/>
  <c r="I44" i="3" s="1"/>
  <c r="H45" i="3"/>
  <c r="H46" i="3"/>
  <c r="H47" i="3"/>
  <c r="I47" i="3" s="1"/>
  <c r="H48" i="3"/>
  <c r="I48" i="3" s="1"/>
  <c r="H49" i="3"/>
  <c r="H50" i="3"/>
  <c r="H51" i="3"/>
  <c r="I51" i="3" s="1"/>
  <c r="H52" i="3"/>
  <c r="I52" i="3" s="1"/>
  <c r="H53" i="3"/>
  <c r="H54" i="3"/>
  <c r="H55" i="3"/>
  <c r="I55" i="3" s="1"/>
  <c r="H56" i="3"/>
  <c r="I56" i="3" s="1"/>
  <c r="H57" i="3"/>
  <c r="H58" i="3"/>
  <c r="H59" i="3"/>
  <c r="I59" i="3" s="1"/>
  <c r="H60" i="3"/>
  <c r="I60" i="3" s="1"/>
  <c r="H61" i="3"/>
  <c r="H62" i="3"/>
  <c r="H63" i="3"/>
  <c r="I63" i="3" s="1"/>
  <c r="H64" i="3"/>
  <c r="I64" i="3" s="1"/>
  <c r="H65" i="3"/>
  <c r="H66" i="3"/>
  <c r="H67" i="3"/>
  <c r="I67" i="3" s="1"/>
  <c r="H68" i="3"/>
  <c r="I68" i="3" s="1"/>
  <c r="H69" i="3"/>
  <c r="H70" i="3"/>
  <c r="H71" i="3"/>
  <c r="I71" i="3" s="1"/>
  <c r="H2" i="3"/>
  <c r="I2" i="3" s="1"/>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2" i="3"/>
  <c r="H78" i="2"/>
  <c r="I78" i="2" s="1"/>
  <c r="H77" i="2"/>
  <c r="I77" i="2" s="1"/>
  <c r="H76" i="2"/>
  <c r="I76" i="2" s="1"/>
  <c r="H75" i="2"/>
  <c r="I75" i="2" s="1"/>
  <c r="H74" i="2"/>
  <c r="I74" i="2" s="1"/>
  <c r="I73" i="2"/>
  <c r="H73" i="2"/>
  <c r="H72" i="2"/>
  <c r="I72" i="2" s="1"/>
  <c r="H71" i="2"/>
  <c r="I71" i="2" s="1"/>
  <c r="H70" i="2"/>
  <c r="I70" i="2" s="1"/>
  <c r="I69" i="2"/>
  <c r="H69" i="2"/>
  <c r="H68" i="2"/>
  <c r="I68" i="2" s="1"/>
  <c r="H67" i="2"/>
  <c r="I67" i="2" s="1"/>
  <c r="H66" i="2"/>
  <c r="I66" i="2" s="1"/>
  <c r="I65" i="2"/>
  <c r="H65" i="2"/>
  <c r="H64" i="2"/>
  <c r="I64" i="2" s="1"/>
  <c r="H63" i="2"/>
  <c r="I63" i="2" s="1"/>
  <c r="H62" i="2"/>
  <c r="I62" i="2" s="1"/>
  <c r="I61" i="2"/>
  <c r="H61" i="2"/>
  <c r="H60" i="2"/>
  <c r="I60" i="2" s="1"/>
  <c r="H59" i="2"/>
  <c r="I59" i="2" s="1"/>
  <c r="H58" i="2"/>
  <c r="I58" i="2" s="1"/>
  <c r="I57" i="2"/>
  <c r="H57" i="2"/>
  <c r="H56" i="2"/>
  <c r="I56" i="2" s="1"/>
  <c r="H55" i="2"/>
  <c r="I55" i="2" s="1"/>
  <c r="H54" i="2"/>
  <c r="I54" i="2" s="1"/>
  <c r="I53" i="2"/>
  <c r="H53" i="2"/>
  <c r="H52" i="2"/>
  <c r="I52" i="2" s="1"/>
  <c r="H51" i="2"/>
  <c r="I51" i="2" s="1"/>
  <c r="H50" i="2"/>
  <c r="I50" i="2" s="1"/>
  <c r="I49" i="2"/>
  <c r="H49" i="2"/>
  <c r="H48" i="2"/>
  <c r="I48" i="2" s="1"/>
  <c r="H47" i="2"/>
  <c r="I47" i="2" s="1"/>
  <c r="H46" i="2"/>
  <c r="I46" i="2" s="1"/>
  <c r="I45" i="2"/>
  <c r="H45" i="2"/>
  <c r="H44" i="2"/>
  <c r="I44" i="2" s="1"/>
  <c r="H43" i="2"/>
  <c r="I43" i="2" s="1"/>
  <c r="H42" i="2"/>
  <c r="I42" i="2" s="1"/>
  <c r="I41" i="2"/>
  <c r="H41" i="2"/>
  <c r="H40" i="2"/>
  <c r="I40" i="2" s="1"/>
  <c r="H39" i="2"/>
  <c r="I39" i="2" s="1"/>
  <c r="H38" i="2"/>
  <c r="I38" i="2" s="1"/>
  <c r="I37" i="2"/>
  <c r="H37" i="2"/>
  <c r="H36" i="2"/>
  <c r="I36" i="2" s="1"/>
  <c r="H35" i="2"/>
  <c r="I35" i="2" s="1"/>
  <c r="H34" i="2"/>
  <c r="I34" i="2" s="1"/>
  <c r="I33" i="2"/>
  <c r="H33" i="2"/>
  <c r="H32" i="2"/>
  <c r="I32" i="2" s="1"/>
  <c r="H31" i="2"/>
  <c r="I31" i="2" s="1"/>
  <c r="H30" i="2"/>
  <c r="I30" i="2" s="1"/>
  <c r="I29" i="2"/>
  <c r="H29" i="2"/>
  <c r="H28" i="2"/>
  <c r="I28" i="2" s="1"/>
  <c r="H27" i="2"/>
  <c r="I27" i="2" s="1"/>
  <c r="H26" i="2"/>
  <c r="I26" i="2" s="1"/>
  <c r="I25" i="2"/>
  <c r="H25" i="2"/>
  <c r="H24" i="2"/>
  <c r="I24" i="2" s="1"/>
  <c r="H23" i="2"/>
  <c r="I23" i="2" s="1"/>
  <c r="H22" i="2"/>
  <c r="I22" i="2" s="1"/>
  <c r="I21" i="2"/>
  <c r="H21" i="2"/>
  <c r="H20" i="2"/>
  <c r="I20" i="2" s="1"/>
  <c r="H19" i="2"/>
  <c r="I19" i="2" s="1"/>
  <c r="H18" i="2"/>
  <c r="I18" i="2" s="1"/>
  <c r="I17" i="2"/>
  <c r="H17" i="2"/>
  <c r="H16" i="2"/>
  <c r="I16" i="2" s="1"/>
  <c r="H15" i="2"/>
  <c r="I15" i="2" s="1"/>
  <c r="H14" i="2"/>
  <c r="I14" i="2" s="1"/>
  <c r="I13" i="2"/>
  <c r="H13" i="2"/>
  <c r="H12" i="2"/>
  <c r="I12" i="2" s="1"/>
  <c r="H11" i="2"/>
  <c r="I11" i="2" s="1"/>
  <c r="H10" i="2"/>
  <c r="I10" i="2" s="1"/>
  <c r="I9" i="2"/>
  <c r="H9" i="2"/>
  <c r="J4" i="3" l="1"/>
  <c r="J12" i="3"/>
  <c r="J20" i="3"/>
  <c r="J28" i="3"/>
  <c r="J32" i="3"/>
  <c r="J44" i="3"/>
  <c r="J52" i="3"/>
  <c r="J60" i="3"/>
  <c r="J64" i="3"/>
  <c r="J9" i="3"/>
  <c r="J21" i="3"/>
  <c r="J25" i="3"/>
  <c r="J33" i="3"/>
  <c r="J41" i="3"/>
  <c r="J49" i="3"/>
  <c r="J57" i="3"/>
  <c r="J69" i="3"/>
  <c r="J2" i="3"/>
  <c r="J10" i="3"/>
  <c r="J14" i="3"/>
  <c r="J18" i="3"/>
  <c r="J22" i="3"/>
  <c r="J26" i="3"/>
  <c r="J30" i="3"/>
  <c r="J34" i="3"/>
  <c r="J38" i="3"/>
  <c r="J42" i="3"/>
  <c r="J46" i="3"/>
  <c r="J50" i="3"/>
  <c r="J54" i="3"/>
  <c r="J58" i="3"/>
  <c r="J62" i="3"/>
  <c r="J66" i="3"/>
  <c r="J70" i="3"/>
  <c r="J8" i="3"/>
  <c r="J16" i="3"/>
  <c r="J24" i="3"/>
  <c r="J36" i="3"/>
  <c r="J40" i="3"/>
  <c r="J48" i="3"/>
  <c r="J56" i="3"/>
  <c r="J68" i="3"/>
  <c r="J5" i="3"/>
  <c r="J13" i="3"/>
  <c r="J17" i="3"/>
  <c r="J29" i="3"/>
  <c r="J37" i="3"/>
  <c r="J45" i="3"/>
  <c r="J53" i="3"/>
  <c r="J61" i="3"/>
  <c r="J65" i="3"/>
  <c r="J3" i="3"/>
  <c r="J7" i="3"/>
  <c r="J11" i="3"/>
  <c r="J15" i="3"/>
  <c r="J19" i="3"/>
  <c r="J23" i="3"/>
  <c r="J27" i="3"/>
  <c r="J31" i="3"/>
  <c r="J35" i="3"/>
  <c r="J39" i="3"/>
  <c r="J43" i="3"/>
  <c r="J47" i="3"/>
  <c r="J51" i="3"/>
  <c r="J55" i="3"/>
  <c r="J59" i="3"/>
  <c r="J63" i="3"/>
  <c r="J67" i="3"/>
  <c r="J6" i="3"/>
  <c r="J71" i="3"/>
</calcChain>
</file>

<file path=xl/sharedStrings.xml><?xml version="1.0" encoding="utf-8"?>
<sst xmlns="http://schemas.openxmlformats.org/spreadsheetml/2006/main" count="390" uniqueCount="179">
  <si>
    <t>Excel Sample Data</t>
  </si>
  <si>
    <t>Supermarket Sales Data</t>
  </si>
  <si>
    <t>Tax</t>
  </si>
  <si>
    <t>Order No</t>
  </si>
  <si>
    <t>Order Date</t>
  </si>
  <si>
    <t>Customer Name</t>
  </si>
  <si>
    <t>Ship Date</t>
  </si>
  <si>
    <t>Retail Price (USD)</t>
  </si>
  <si>
    <t>Order Quantity</t>
  </si>
  <si>
    <t>Tax (USD)</t>
  </si>
  <si>
    <t>Total (USD)</t>
  </si>
  <si>
    <t>1001</t>
  </si>
  <si>
    <t>John Smith</t>
  </si>
  <si>
    <t>1002</t>
  </si>
  <si>
    <t>Jane Doe</t>
  </si>
  <si>
    <t>1003</t>
  </si>
  <si>
    <t>Michael Johnson</t>
  </si>
  <si>
    <t>1004</t>
  </si>
  <si>
    <t>Emily Brown</t>
  </si>
  <si>
    <t>1005</t>
  </si>
  <si>
    <t>David Wilson</t>
  </si>
  <si>
    <t>1006</t>
  </si>
  <si>
    <t>Lisa Taylor</t>
  </si>
  <si>
    <t>1007</t>
  </si>
  <si>
    <t>Daniel Martinez</t>
  </si>
  <si>
    <t>1008</t>
  </si>
  <si>
    <t>Sarah Anderson</t>
  </si>
  <si>
    <t>1009</t>
  </si>
  <si>
    <t>Christopher Thomas</t>
  </si>
  <si>
    <t>1010</t>
  </si>
  <si>
    <t>Kimberly Garcia</t>
  </si>
  <si>
    <t>1011</t>
  </si>
  <si>
    <t>William Hernandez</t>
  </si>
  <si>
    <t>1012</t>
  </si>
  <si>
    <t>Melissa Lopez</t>
  </si>
  <si>
    <t>1013</t>
  </si>
  <si>
    <t>Richard Perez</t>
  </si>
  <si>
    <t>1014</t>
  </si>
  <si>
    <t>Jessica Gonzalez</t>
  </si>
  <si>
    <t>1015</t>
  </si>
  <si>
    <t>Matthew Wilson</t>
  </si>
  <si>
    <t>1016</t>
  </si>
  <si>
    <t>Amanda Martinez</t>
  </si>
  <si>
    <t>1017</t>
  </si>
  <si>
    <t>James Johnson</t>
  </si>
  <si>
    <t>1018</t>
  </si>
  <si>
    <t>Laura Brown</t>
  </si>
  <si>
    <t>1019</t>
  </si>
  <si>
    <t>Daniel Smith</t>
  </si>
  <si>
    <t>1020</t>
  </si>
  <si>
    <t>Jennifer Davis</t>
  </si>
  <si>
    <t>1021</t>
  </si>
  <si>
    <t>Michael Garcia</t>
  </si>
  <si>
    <t>1022</t>
  </si>
  <si>
    <t>Amy Hernandez</t>
  </si>
  <si>
    <t>1023</t>
  </si>
  <si>
    <t>Christopher Rodriguez</t>
  </si>
  <si>
    <t>1024</t>
  </si>
  <si>
    <t>Jessica Martinez</t>
  </si>
  <si>
    <t>1025</t>
  </si>
  <si>
    <t>1026</t>
  </si>
  <si>
    <t>Sarah Smith</t>
  </si>
  <si>
    <t>1027</t>
  </si>
  <si>
    <t>Matthew Johnson</t>
  </si>
  <si>
    <t>1028</t>
  </si>
  <si>
    <t>Emily Davis</t>
  </si>
  <si>
    <t>1029</t>
  </si>
  <si>
    <t>Daniel Wilson</t>
  </si>
  <si>
    <t>1030</t>
  </si>
  <si>
    <t>Jennifer Martinez</t>
  </si>
  <si>
    <t>1031</t>
  </si>
  <si>
    <t>Michael Smith</t>
  </si>
  <si>
    <t>1032</t>
  </si>
  <si>
    <t>Jessica Johnson</t>
  </si>
  <si>
    <t>1033</t>
  </si>
  <si>
    <t>David Brown</t>
  </si>
  <si>
    <t>1034</t>
  </si>
  <si>
    <t>Sarah Garcia</t>
  </si>
  <si>
    <t>1035</t>
  </si>
  <si>
    <t>Matthew Hernandez</t>
  </si>
  <si>
    <t>1036</t>
  </si>
  <si>
    <t>Emily Rodriguez</t>
  </si>
  <si>
    <t>1037</t>
  </si>
  <si>
    <t>Daniel Davis</t>
  </si>
  <si>
    <t>1038</t>
  </si>
  <si>
    <t>Jennifer Smith</t>
  </si>
  <si>
    <t>1039</t>
  </si>
  <si>
    <t>1040</t>
  </si>
  <si>
    <t>1041</t>
  </si>
  <si>
    <t>1042</t>
  </si>
  <si>
    <t>Sarah Johnson</t>
  </si>
  <si>
    <t>1043</t>
  </si>
  <si>
    <t>Matthew Garcia</t>
  </si>
  <si>
    <t>1044</t>
  </si>
  <si>
    <t>1045</t>
  </si>
  <si>
    <t>Daniel Hernandez</t>
  </si>
  <si>
    <t>1046</t>
  </si>
  <si>
    <t>1047</t>
  </si>
  <si>
    <t>Michael Martinez</t>
  </si>
  <si>
    <t>1048</t>
  </si>
  <si>
    <t>Jessica Wilson</t>
  </si>
  <si>
    <t>1049</t>
  </si>
  <si>
    <t>David Rodriguez</t>
  </si>
  <si>
    <t>1050</t>
  </si>
  <si>
    <t>Sarah Gonzalez</t>
  </si>
  <si>
    <t>1051</t>
  </si>
  <si>
    <t>Matthew Smith</t>
  </si>
  <si>
    <t>1052</t>
  </si>
  <si>
    <t>Emily Johnson</t>
  </si>
  <si>
    <t>1053</t>
  </si>
  <si>
    <t>Daniel Brown</t>
  </si>
  <si>
    <t>1054</t>
  </si>
  <si>
    <t>Jennifer Hernandez</t>
  </si>
  <si>
    <t>1055</t>
  </si>
  <si>
    <t>Michael Davis</t>
  </si>
  <si>
    <t>1056</t>
  </si>
  <si>
    <t>Jessica Smith</t>
  </si>
  <si>
    <t>1057</t>
  </si>
  <si>
    <t>David Martinez</t>
  </si>
  <si>
    <t>1058</t>
  </si>
  <si>
    <t>1059</t>
  </si>
  <si>
    <t>1060</t>
  </si>
  <si>
    <t>1061</t>
  </si>
  <si>
    <t>1062</t>
  </si>
  <si>
    <t>1063</t>
  </si>
  <si>
    <t>1064</t>
  </si>
  <si>
    <t>1065</t>
  </si>
  <si>
    <t>1066</t>
  </si>
  <si>
    <t>1067</t>
  </si>
  <si>
    <t>1068</t>
  </si>
  <si>
    <t>1069</t>
  </si>
  <si>
    <t>1070</t>
  </si>
  <si>
    <t>Retail Price Buckets</t>
  </si>
  <si>
    <t>Tax 10% (USD)</t>
  </si>
  <si>
    <t>Price After Tax</t>
  </si>
  <si>
    <t>Row Labels</t>
  </si>
  <si>
    <t>High Price</t>
  </si>
  <si>
    <t>Low Price</t>
  </si>
  <si>
    <t>Medium Price</t>
  </si>
  <si>
    <t>Grand Total</t>
  </si>
  <si>
    <t>Count of Customer Name</t>
  </si>
  <si>
    <t>01-Jan</t>
  </si>
  <si>
    <t>02-Jan</t>
  </si>
  <si>
    <t>03-Jan</t>
  </si>
  <si>
    <t>04-Jan</t>
  </si>
  <si>
    <t>05-Jan</t>
  </si>
  <si>
    <t>06-Jan</t>
  </si>
  <si>
    <t>07-Jan</t>
  </si>
  <si>
    <t>08-Jan</t>
  </si>
  <si>
    <t>09-Jan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</si>
  <si>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</si>
  <si>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</si>
  <si>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</si>
  <si>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</si>
  <si>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</si>
  <si>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</si>
  <si>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</si>
  <si>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</si>
  <si>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</si>
  <si>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</si>
  <si>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</si>
  <si>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</si>
  <si>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</si>
  <si>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</si>
  <si>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</si>
  <si>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</si>
  <si>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</si>
  <si>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</si>
  <si>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</si>
  <si>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</si>
  <si>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</si>
  <si>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</si>
  <si>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01-Feb</t>
  </si>
  <si>
    <t>02-Feb</t>
  </si>
  <si>
    <t>03-Feb</t>
  </si>
  <si>
    <t>04-Feb</t>
  </si>
  <si>
    <t>Sum of Retail Price (USD)</t>
  </si>
  <si>
    <t>Sum of Order Quantity</t>
  </si>
  <si>
    <t>Supermarket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</si>
</sst>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sz val="11"/>
      <color theme="1"/>
      <name val="Aptos Narrow"/>
      <family val="2"/>
      <scheme val="minor"/>
    </font>
    <font>
      <b/>
      <sz val="14"/>
      <color rgb="FF272760"/>
      <name val="Calibri"/>
      <family val="2"/>
    </font>
    <font>
      <sz val="11"/>
      <color theme="1"/>
      <name val="Calibri"/>
      <family val="2"/>
    </font>
    <font>
      <b/>
      <sz val="13"/>
      <color rgb="FF272760"/>
      <name val="Calibri"/>
      <family val="2"/>
    </font>
    <font>
      <b/>
      <sz val="12"/>
      <color rgb="FFFFFFFF"/>
      <name val="Calibri"/>
      <family val="2"/>
    </font>
    <font>
      <sz val="11"/>
      <color rgb="FF000000"/>
      <name val="Calibri"/>
      <family val="2"/>
    </font>
    <font>
      <sz val="28"/>
      <color theme="0"/>
      <name val="Aptos Narrow"/>
      <family val="2"/>
      <scheme val="minor"/>
    </font>
  </fonts>
  <fills count="5">
    <fill>
      <patternFill patternType="none"/>
    </fill>
    <fill>
      <patternFill patternType="gray125"/>
    </fill>
    <fill>
      <patternFill patternType="solid">
        <fgColor rgb="FFD9E1F2"/>
        <bgColor indexed="64"/>
      </patternFill>
    </fill>
    <fill>
      <patternFill patternType="solid">
        <fgColor rgb="FF272760"/>
        <bgColor indexed="64"/>
      </patternFill>
    </fill>
    <fill>
      <patternFill patternType="solid">
        <fgColor theme="4"/>
        <bgColor indexed="64"/>
      </patternFill>
    </fill>
  </fills>
  <borders count="4">
    <border>
      <left/>
      <right/>
      <top/>
      <bottom/>
      <diagonal/>
    </border>
    <border>
      <left/>
      <right/>
      <top/>
      <bottom style="medium">
        <color rgb="FF272760"/>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s>
  <cellStyleXfs count="2">
    <xf numFmtId="0" fontId="0" fillId="0" borderId="0"/>
    <xf numFmtId="9" fontId="1" fillId="0" borderId="0" applyFont="0" applyFill="0" applyBorder="0" applyAlignment="0" applyProtection="0"/>
  </cellStyleXfs>
  <cellXfs count="20">
    <xf numFmtId="0" fontId="0" fillId="0" borderId="0" xfId="0"/>
    <xf numFmtId="0" fontId="2" fillId="2" borderId="1" xfId="0" applyFont="1" applyFill="1" applyBorder="1" applyAlignment="1">
      <alignment horizontal="centerContinuous" vertical="center"/>
    </xf>
    <xf numFmtId="0" fontId="3" fillId="0" borderId="0" xfId="0" applyFont="1"/>
    <xf numFmtId="0" fontId="4" fillId="2" borderId="1" xfId="0" applyFont="1" applyFill="1" applyBorder="1" applyAlignment="1">
      <alignment horizontal="centerContinuous" vertical="center"/>
    </xf>
    <xf numFmtId="0" fontId="5" fillId="3" borderId="2" xfId="0" applyFont="1" applyFill="1" applyBorder="1" applyAlignment="1">
      <alignment horizontal="center" vertical="center"/>
    </xf>
    <xf numFmtId="9" fontId="6" fillId="0" borderId="2" xfId="1" applyFont="1" applyBorder="1" applyAlignment="1">
      <alignment vertical="center"/>
    </xf>
    <xf numFmtId="0" fontId="5" fillId="3" borderId="3" xfId="0" applyFont="1" applyFill="1" applyBorder="1" applyAlignment="1">
      <alignment horizontal="center" vertical="center"/>
    </xf>
    <xf numFmtId="0" fontId="6" fillId="0" borderId="2" xfId="0" applyFont="1" applyBorder="1" applyAlignment="1">
      <alignment vertical="center"/>
    </xf>
    <xf numFmtId="14" fontId="6" fillId="0" borderId="2" xfId="0" applyNumberFormat="1" applyFont="1" applyBorder="1" applyAlignment="1">
      <alignment vertical="center"/>
    </xf>
    <xf numFmtId="14" fontId="3" fillId="0" borderId="0" xfId="0" applyNumberFormat="1" applyFont="1"/>
    <xf numFmtId="14" fontId="5" fillId="3" borderId="2" xfId="0" applyNumberFormat="1" applyFont="1" applyFill="1" applyBorder="1" applyAlignment="1">
      <alignment horizontal="center" vertical="center"/>
    </xf>
    <xf numFmtId="14" fontId="0" fillId="0" borderId="0" xfId="0" applyNumberFormat="1"/>
    <xf numFmtId="0" fontId="5" fillId="3" borderId="2" xfId="0" applyNumberFormat="1" applyFont="1" applyFill="1" applyBorder="1" applyAlignment="1">
      <alignment horizontal="center" vertical="center"/>
    </xf>
    <xf numFmtId="0" fontId="6" fillId="0" borderId="2" xfId="0" applyNumberFormat="1" applyFont="1" applyBorder="1" applyAlignment="1">
      <alignment vertical="center"/>
    </xf>
    <xf numFmtId="0" fontId="0" fillId="0" borderId="0" xfId="0" applyNumberFormat="1"/>
    <xf numFmtId="0" fontId="0" fillId="0" borderId="0" xfId="0" pivotButton="1"/>
    <xf numFmtId="0" fontId="0" fillId="0" borderId="0" xfId="0" applyAlignment="1">
      <alignment horizontal="left"/>
    </xf>
    <xf numFmtId="0" fontId="0" fillId="4" borderId="0" xfId="0" applyFill="1" applyAlignment="1">
      <alignment horizontal="center" vertical="center"/>
    </xf>
    <xf numFmtId="0" fontId="0" fillId="0" borderId="0" xfId="0" applyAlignment="1">
      <alignment vertical="center"/>
    </xf>
    <xf numFmtId="0" fontId="7" fillId="4" borderId="0" xfId="0" applyFont="1" applyFill="1" applyAlignment="1">
      <alignment horizontal="center"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Project.xlsx]Pivot Table!PivotTable1</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D"/>
              <a:t>Price Buckets by Count of Customers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Table'!$B$1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Table'!$A$2:$A$5</c:f>
              <c:strCache>
                <c:ptCount val="3"/>
                <c:pt idx="0">
                  <c:v>High Price</c:v>
                </c:pt>
                <c:pt idx="1">
                  <c:v>Low Price</c:v>
                </c:pt>
                <c:pt idx="2">
                  <c:v>Medium Price</c:v>
                </c:pt>
              </c:strCache>
            </c:strRef>
          </c:cat>
          <c:val>
            <c:numRef>
              <c:f>'Pivot Table'!$B$2:$B$5</c:f>
              <c:numCache>
                <c:formatCode>General</c:formatCode>
                <c:ptCount val="3"/>
                <c:pt idx="0">
                  <c:v>15</c:v>
                </c:pt>
                <c:pt idx="1">
                  <c:v>31</c:v>
                </c:pt>
                <c:pt idx="2">
                  <c:v>24</c:v>
                </c:pt>
              </c:numCache>
            </c:numRef>
          </c:val>
          <c:extLst>
            <c:ext xmlns:c16="http://schemas.microsoft.com/office/drawing/2014/chart" uri="{C3380CC4-5D6E-409C-BE32-E72D297353CC}">
              <c16:uniqueId val="{00000000-59A4-4A80-860A-6264ADF277B8}"/>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a:t>
            </a:r>
            <a:r>
              <a:rPr lang="en-US" baseline="0"/>
              <a:t> of Retail Price by Dates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c:f>
              <c:strCache>
                <c:ptCount val="1"/>
                <c:pt idx="0">
                  <c:v>Total</c:v>
                </c:pt>
              </c:strCache>
            </c:strRef>
          </c:tx>
          <c:spPr>
            <a:ln w="28575" cap="rnd">
              <a:solidFill>
                <a:schemeClr val="accent1"/>
              </a:solidFill>
              <a:round/>
            </a:ln>
            <a:effectLst/>
          </c:spPr>
          <c:marker>
            <c:symbol val="none"/>
          </c:marker>
          <c:cat>
            <c:strRef>
              <c:f>'Pivot Table'!$A$19:$A$54</c:f>
              <c:strCache>
                <c:ptCount val="3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strCache>
            </c:strRef>
          </c:cat>
          <c:val>
            <c:numRef>
              <c:f>'Pivot Table'!$B$19:$B$54</c:f>
              <c:numCache>
                <c:formatCode>General</c:formatCode>
                <c:ptCount val="35"/>
                <c:pt idx="0">
                  <c:v>80</c:v>
                </c:pt>
                <c:pt idx="1">
                  <c:v>120</c:v>
                </c:pt>
                <c:pt idx="2">
                  <c:v>230</c:v>
                </c:pt>
                <c:pt idx="3">
                  <c:v>110</c:v>
                </c:pt>
                <c:pt idx="4">
                  <c:v>290</c:v>
                </c:pt>
                <c:pt idx="5">
                  <c:v>110</c:v>
                </c:pt>
                <c:pt idx="6">
                  <c:v>180</c:v>
                </c:pt>
                <c:pt idx="7">
                  <c:v>170</c:v>
                </c:pt>
                <c:pt idx="8">
                  <c:v>110</c:v>
                </c:pt>
                <c:pt idx="9">
                  <c:v>230</c:v>
                </c:pt>
                <c:pt idx="10">
                  <c:v>130</c:v>
                </c:pt>
                <c:pt idx="11">
                  <c:v>150</c:v>
                </c:pt>
                <c:pt idx="12">
                  <c:v>220</c:v>
                </c:pt>
                <c:pt idx="13">
                  <c:v>240</c:v>
                </c:pt>
                <c:pt idx="14">
                  <c:v>110</c:v>
                </c:pt>
                <c:pt idx="15">
                  <c:v>180</c:v>
                </c:pt>
                <c:pt idx="16">
                  <c:v>170</c:v>
                </c:pt>
                <c:pt idx="17">
                  <c:v>110</c:v>
                </c:pt>
                <c:pt idx="18">
                  <c:v>230</c:v>
                </c:pt>
                <c:pt idx="19">
                  <c:v>130</c:v>
                </c:pt>
                <c:pt idx="20">
                  <c:v>150</c:v>
                </c:pt>
                <c:pt idx="21">
                  <c:v>220</c:v>
                </c:pt>
                <c:pt idx="22">
                  <c:v>240</c:v>
                </c:pt>
                <c:pt idx="23">
                  <c:v>110</c:v>
                </c:pt>
                <c:pt idx="24">
                  <c:v>180</c:v>
                </c:pt>
                <c:pt idx="25">
                  <c:v>170</c:v>
                </c:pt>
                <c:pt idx="26">
                  <c:v>110</c:v>
                </c:pt>
                <c:pt idx="27">
                  <c:v>230</c:v>
                </c:pt>
                <c:pt idx="28">
                  <c:v>130</c:v>
                </c:pt>
                <c:pt idx="29">
                  <c:v>150</c:v>
                </c:pt>
                <c:pt idx="30">
                  <c:v>220</c:v>
                </c:pt>
                <c:pt idx="31">
                  <c:v>270</c:v>
                </c:pt>
                <c:pt idx="32">
                  <c:v>80</c:v>
                </c:pt>
                <c:pt idx="33">
                  <c:v>50</c:v>
                </c:pt>
                <c:pt idx="34">
                  <c:v>300</c:v>
                </c:pt>
              </c:numCache>
            </c:numRef>
          </c:val>
          <c:smooth val="0"/>
          <c:extLst>
            <c:ext xmlns:c16="http://schemas.microsoft.com/office/drawing/2014/chart" uri="{C3380CC4-5D6E-409C-BE32-E72D297353CC}">
              <c16:uniqueId val="{00000000-CEF8-41C6-B7FE-5172E32C1BE7}"/>
            </c:ext>
          </c:extLst>
        </c:ser>
        <c:dLbls>
          <c:showLegendKey val="0"/>
          <c:showVal val="0"/>
          <c:showCatName val="0"/>
          <c:showSerName val="0"/>
          <c:showPercent val="0"/>
          <c:showBubbleSize val="0"/>
        </c:dLbls>
        <c:smooth val="0"/>
        <c:axId val="733901359"/>
        <c:axId val="733887439"/>
      </c:lineChart>
      <c:catAx>
        <c:axId val="7339013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887439"/>
        <c:crosses val="autoZero"/>
        <c:auto val="1"/>
        <c:lblAlgn val="ctr"/>
        <c:lblOffset val="100"/>
        <c:noMultiLvlLbl val="0"/>
      </c:catAx>
      <c:valAx>
        <c:axId val="7338874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901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Project.xlsx]Pivot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Order Quantity by Price Buckets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Table'!$B$58</c:f>
              <c:strCache>
                <c:ptCount val="1"/>
                <c:pt idx="0">
                  <c:v>Total</c:v>
                </c:pt>
              </c:strCache>
            </c:strRef>
          </c:tx>
          <c:spPr>
            <a:solidFill>
              <a:schemeClr val="accent1"/>
            </a:solidFill>
            <a:ln>
              <a:noFill/>
            </a:ln>
            <a:effectLst/>
          </c:spPr>
          <c:invertIfNegative val="0"/>
          <c:cat>
            <c:strRef>
              <c:f>'Pivot Table'!$A$59:$A$62</c:f>
              <c:strCache>
                <c:ptCount val="3"/>
                <c:pt idx="0">
                  <c:v>High Price</c:v>
                </c:pt>
                <c:pt idx="1">
                  <c:v>Low Price</c:v>
                </c:pt>
                <c:pt idx="2">
                  <c:v>Medium Price</c:v>
                </c:pt>
              </c:strCache>
            </c:strRef>
          </c:cat>
          <c:val>
            <c:numRef>
              <c:f>'Pivot Table'!$B$59:$B$62</c:f>
              <c:numCache>
                <c:formatCode>General</c:formatCode>
                <c:ptCount val="3"/>
                <c:pt idx="0">
                  <c:v>15</c:v>
                </c:pt>
                <c:pt idx="1">
                  <c:v>112</c:v>
                </c:pt>
                <c:pt idx="2">
                  <c:v>41</c:v>
                </c:pt>
              </c:numCache>
            </c:numRef>
          </c:val>
          <c:extLst>
            <c:ext xmlns:c16="http://schemas.microsoft.com/office/drawing/2014/chart" uri="{C3380CC4-5D6E-409C-BE32-E72D297353CC}">
              <c16:uniqueId val="{00000000-19B0-4088-A944-99388D6C0E63}"/>
            </c:ext>
          </c:extLst>
        </c:ser>
        <c:dLbls>
          <c:showLegendKey val="0"/>
          <c:showVal val="0"/>
          <c:showCatName val="0"/>
          <c:showSerName val="0"/>
          <c:showPercent val="0"/>
          <c:showBubbleSize val="0"/>
        </c:dLbls>
        <c:gapWidth val="219"/>
        <c:overlap val="-27"/>
        <c:axId val="699170559"/>
        <c:axId val="699171999"/>
      </c:barChart>
      <c:catAx>
        <c:axId val="6991705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Price</a:t>
                </a:r>
                <a:r>
                  <a:rPr lang="en-ID" baseline="0"/>
                  <a:t> Buckets</a:t>
                </a:r>
                <a:endParaRPr lang="en-ID"/>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171999"/>
        <c:crosses val="autoZero"/>
        <c:auto val="1"/>
        <c:lblAlgn val="ctr"/>
        <c:lblOffset val="100"/>
        <c:noMultiLvlLbl val="0"/>
      </c:catAx>
      <c:valAx>
        <c:axId val="6991719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Order</a:t>
                </a:r>
                <a:r>
                  <a:rPr lang="en-ID" baseline="0"/>
                  <a:t> Quantity</a:t>
                </a:r>
                <a:endParaRPr lang="en-ID"/>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170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Project.xlsx]Pivot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Order</a:t>
            </a:r>
            <a:r>
              <a:rPr lang="en-ID" baseline="0"/>
              <a:t> Quantity by Date</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Table'!$B$75</c:f>
              <c:strCache>
                <c:ptCount val="1"/>
                <c:pt idx="0">
                  <c:v>Total</c:v>
                </c:pt>
              </c:strCache>
            </c:strRef>
          </c:tx>
          <c:spPr>
            <a:ln w="28575" cap="rnd">
              <a:solidFill>
                <a:schemeClr val="accent1"/>
              </a:solidFill>
              <a:round/>
            </a:ln>
            <a:effectLst/>
          </c:spPr>
          <c:marker>
            <c:symbol val="none"/>
          </c:marker>
          <c:cat>
            <c:strRef>
              <c:f>'Pivot Table'!$A$76:$A$111</c:f>
              <c:strCache>
                <c:ptCount val="3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strCache>
            </c:strRef>
          </c:cat>
          <c:val>
            <c:numRef>
              <c:f>'Pivot Table'!$B$76:$B$111</c:f>
              <c:numCache>
                <c:formatCode>General</c:formatCode>
                <c:ptCount val="35"/>
                <c:pt idx="0">
                  <c:v>3</c:v>
                </c:pt>
                <c:pt idx="1">
                  <c:v>7</c:v>
                </c:pt>
                <c:pt idx="2">
                  <c:v>3</c:v>
                </c:pt>
                <c:pt idx="3">
                  <c:v>5</c:v>
                </c:pt>
                <c:pt idx="4">
                  <c:v>2</c:v>
                </c:pt>
                <c:pt idx="5">
                  <c:v>7</c:v>
                </c:pt>
                <c:pt idx="6">
                  <c:v>4</c:v>
                </c:pt>
                <c:pt idx="7">
                  <c:v>5</c:v>
                </c:pt>
                <c:pt idx="8">
                  <c:v>5</c:v>
                </c:pt>
                <c:pt idx="9">
                  <c:v>6</c:v>
                </c:pt>
                <c:pt idx="10">
                  <c:v>5</c:v>
                </c:pt>
                <c:pt idx="11">
                  <c:v>5</c:v>
                </c:pt>
                <c:pt idx="12">
                  <c:v>3</c:v>
                </c:pt>
                <c:pt idx="13">
                  <c:v>4</c:v>
                </c:pt>
                <c:pt idx="14">
                  <c:v>7</c:v>
                </c:pt>
                <c:pt idx="15">
                  <c:v>4</c:v>
                </c:pt>
                <c:pt idx="16">
                  <c:v>5</c:v>
                </c:pt>
                <c:pt idx="17">
                  <c:v>5</c:v>
                </c:pt>
                <c:pt idx="18">
                  <c:v>6</c:v>
                </c:pt>
                <c:pt idx="19">
                  <c:v>5</c:v>
                </c:pt>
                <c:pt idx="20">
                  <c:v>5</c:v>
                </c:pt>
                <c:pt idx="21">
                  <c:v>3</c:v>
                </c:pt>
                <c:pt idx="22">
                  <c:v>4</c:v>
                </c:pt>
                <c:pt idx="23">
                  <c:v>7</c:v>
                </c:pt>
                <c:pt idx="24">
                  <c:v>4</c:v>
                </c:pt>
                <c:pt idx="25">
                  <c:v>5</c:v>
                </c:pt>
                <c:pt idx="26">
                  <c:v>5</c:v>
                </c:pt>
                <c:pt idx="27">
                  <c:v>6</c:v>
                </c:pt>
                <c:pt idx="28">
                  <c:v>5</c:v>
                </c:pt>
                <c:pt idx="29">
                  <c:v>5</c:v>
                </c:pt>
                <c:pt idx="30">
                  <c:v>3</c:v>
                </c:pt>
                <c:pt idx="31">
                  <c:v>9</c:v>
                </c:pt>
                <c:pt idx="32">
                  <c:v>2</c:v>
                </c:pt>
                <c:pt idx="33">
                  <c:v>3</c:v>
                </c:pt>
                <c:pt idx="34">
                  <c:v>6</c:v>
                </c:pt>
              </c:numCache>
            </c:numRef>
          </c:val>
          <c:smooth val="0"/>
          <c:extLst>
            <c:ext xmlns:c16="http://schemas.microsoft.com/office/drawing/2014/chart" uri="{C3380CC4-5D6E-409C-BE32-E72D297353CC}">
              <c16:uniqueId val="{00000000-E1D4-4FCE-8D9F-33AE715E48FF}"/>
            </c:ext>
          </c:extLst>
        </c:ser>
        <c:dLbls>
          <c:showLegendKey val="0"/>
          <c:showVal val="0"/>
          <c:showCatName val="0"/>
          <c:showSerName val="0"/>
          <c:showPercent val="0"/>
          <c:showBubbleSize val="0"/>
        </c:dLbls>
        <c:smooth val="0"/>
        <c:axId val="699152799"/>
        <c:axId val="699175359"/>
      </c:lineChart>
      <c:catAx>
        <c:axId val="6991527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175359"/>
        <c:crosses val="autoZero"/>
        <c:auto val="1"/>
        <c:lblAlgn val="ctr"/>
        <c:lblOffset val="100"/>
        <c:noMultiLvlLbl val="0"/>
      </c:catAx>
      <c:valAx>
        <c:axId val="6991753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Order</a:t>
                </a:r>
                <a:r>
                  <a:rPr lang="en-ID" baseline="0"/>
                  <a:t> Quantity</a:t>
                </a:r>
                <a:endParaRPr lang="en-ID"/>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152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Project.xlsx]Pivot Table!PivotTable1</c:name>
    <c:fmtId val="4"/>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D" sz="1050"/>
              <a:t>Price Buckets by Count of Customers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 Table'!$B$1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C86-4835-9A1B-0BD865D0CD3C}"/>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C86-4835-9A1B-0BD865D0CD3C}"/>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6C86-4835-9A1B-0BD865D0CD3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Table'!$A$2:$A$5</c:f>
              <c:strCache>
                <c:ptCount val="3"/>
                <c:pt idx="0">
                  <c:v>High Price</c:v>
                </c:pt>
                <c:pt idx="1">
                  <c:v>Low Price</c:v>
                </c:pt>
                <c:pt idx="2">
                  <c:v>Medium Price</c:v>
                </c:pt>
              </c:strCache>
            </c:strRef>
          </c:cat>
          <c:val>
            <c:numRef>
              <c:f>'Pivot Table'!$B$2:$B$5</c:f>
              <c:numCache>
                <c:formatCode>General</c:formatCode>
                <c:ptCount val="3"/>
                <c:pt idx="0">
                  <c:v>15</c:v>
                </c:pt>
                <c:pt idx="1">
                  <c:v>31</c:v>
                </c:pt>
                <c:pt idx="2">
                  <c:v>24</c:v>
                </c:pt>
              </c:numCache>
            </c:numRef>
          </c:val>
          <c:extLst>
            <c:ext xmlns:c16="http://schemas.microsoft.com/office/drawing/2014/chart" uri="{C3380CC4-5D6E-409C-BE32-E72D297353CC}">
              <c16:uniqueId val="{00000006-6C86-4835-9A1B-0BD865D0CD3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Project.xlsx]Pivot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Sum</a:t>
            </a:r>
            <a:r>
              <a:rPr lang="en-US" baseline="0"/>
              <a:t> of Retail Price by Dates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Table'!$B$18</c:f>
              <c:strCache>
                <c:ptCount val="1"/>
                <c:pt idx="0">
                  <c:v>Total</c:v>
                </c:pt>
              </c:strCache>
            </c:strRef>
          </c:tx>
          <c:spPr>
            <a:ln w="28575" cap="rnd">
              <a:solidFill>
                <a:schemeClr val="accent1"/>
              </a:solidFill>
              <a:round/>
            </a:ln>
            <a:effectLst/>
          </c:spPr>
          <c:marker>
            <c:symbol val="none"/>
          </c:marker>
          <c:cat>
            <c:strRef>
              <c:f>'Pivot Table'!$A$19:$A$54</c:f>
              <c:strCache>
                <c:ptCount val="3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strCache>
            </c:strRef>
          </c:cat>
          <c:val>
            <c:numRef>
              <c:f>'Pivot Table'!$B$19:$B$54</c:f>
              <c:numCache>
                <c:formatCode>General</c:formatCode>
                <c:ptCount val="35"/>
                <c:pt idx="0">
                  <c:v>80</c:v>
                </c:pt>
                <c:pt idx="1">
                  <c:v>120</c:v>
                </c:pt>
                <c:pt idx="2">
                  <c:v>230</c:v>
                </c:pt>
                <c:pt idx="3">
                  <c:v>110</c:v>
                </c:pt>
                <c:pt idx="4">
                  <c:v>290</c:v>
                </c:pt>
                <c:pt idx="5">
                  <c:v>110</c:v>
                </c:pt>
                <c:pt idx="6">
                  <c:v>180</c:v>
                </c:pt>
                <c:pt idx="7">
                  <c:v>170</c:v>
                </c:pt>
                <c:pt idx="8">
                  <c:v>110</c:v>
                </c:pt>
                <c:pt idx="9">
                  <c:v>230</c:v>
                </c:pt>
                <c:pt idx="10">
                  <c:v>130</c:v>
                </c:pt>
                <c:pt idx="11">
                  <c:v>150</c:v>
                </c:pt>
                <c:pt idx="12">
                  <c:v>220</c:v>
                </c:pt>
                <c:pt idx="13">
                  <c:v>240</c:v>
                </c:pt>
                <c:pt idx="14">
                  <c:v>110</c:v>
                </c:pt>
                <c:pt idx="15">
                  <c:v>180</c:v>
                </c:pt>
                <c:pt idx="16">
                  <c:v>170</c:v>
                </c:pt>
                <c:pt idx="17">
                  <c:v>110</c:v>
                </c:pt>
                <c:pt idx="18">
                  <c:v>230</c:v>
                </c:pt>
                <c:pt idx="19">
                  <c:v>130</c:v>
                </c:pt>
                <c:pt idx="20">
                  <c:v>150</c:v>
                </c:pt>
                <c:pt idx="21">
                  <c:v>220</c:v>
                </c:pt>
                <c:pt idx="22">
                  <c:v>240</c:v>
                </c:pt>
                <c:pt idx="23">
                  <c:v>110</c:v>
                </c:pt>
                <c:pt idx="24">
                  <c:v>180</c:v>
                </c:pt>
                <c:pt idx="25">
                  <c:v>170</c:v>
                </c:pt>
                <c:pt idx="26">
                  <c:v>110</c:v>
                </c:pt>
                <c:pt idx="27">
                  <c:v>230</c:v>
                </c:pt>
                <c:pt idx="28">
                  <c:v>130</c:v>
                </c:pt>
                <c:pt idx="29">
                  <c:v>150</c:v>
                </c:pt>
                <c:pt idx="30">
                  <c:v>220</c:v>
                </c:pt>
                <c:pt idx="31">
                  <c:v>270</c:v>
                </c:pt>
                <c:pt idx="32">
                  <c:v>80</c:v>
                </c:pt>
                <c:pt idx="33">
                  <c:v>50</c:v>
                </c:pt>
                <c:pt idx="34">
                  <c:v>300</c:v>
                </c:pt>
              </c:numCache>
            </c:numRef>
          </c:val>
          <c:smooth val="0"/>
          <c:extLst>
            <c:ext xmlns:c16="http://schemas.microsoft.com/office/drawing/2014/chart" uri="{C3380CC4-5D6E-409C-BE32-E72D297353CC}">
              <c16:uniqueId val="{00000000-BEEA-4925-BA71-4D53DBE3E5DF}"/>
            </c:ext>
          </c:extLst>
        </c:ser>
        <c:dLbls>
          <c:showLegendKey val="0"/>
          <c:showVal val="0"/>
          <c:showCatName val="0"/>
          <c:showSerName val="0"/>
          <c:showPercent val="0"/>
          <c:showBubbleSize val="0"/>
        </c:dLbls>
        <c:smooth val="0"/>
        <c:axId val="733901359"/>
        <c:axId val="733887439"/>
      </c:lineChart>
      <c:catAx>
        <c:axId val="7339013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887439"/>
        <c:crosses val="autoZero"/>
        <c:auto val="1"/>
        <c:lblAlgn val="ctr"/>
        <c:lblOffset val="100"/>
        <c:noMultiLvlLbl val="0"/>
      </c:catAx>
      <c:valAx>
        <c:axId val="7338874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Price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9013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Project.xlsx]Pivot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Order Quantity by Price Buckets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Table'!$B$58</c:f>
              <c:strCache>
                <c:ptCount val="1"/>
                <c:pt idx="0">
                  <c:v>Total</c:v>
                </c:pt>
              </c:strCache>
            </c:strRef>
          </c:tx>
          <c:spPr>
            <a:solidFill>
              <a:schemeClr val="accent1"/>
            </a:solidFill>
            <a:ln>
              <a:noFill/>
            </a:ln>
            <a:effectLst/>
          </c:spPr>
          <c:invertIfNegative val="0"/>
          <c:cat>
            <c:strRef>
              <c:f>'Pivot Table'!$A$59:$A$62</c:f>
              <c:strCache>
                <c:ptCount val="3"/>
                <c:pt idx="0">
                  <c:v>High Price</c:v>
                </c:pt>
                <c:pt idx="1">
                  <c:v>Low Price</c:v>
                </c:pt>
                <c:pt idx="2">
                  <c:v>Medium Price</c:v>
                </c:pt>
              </c:strCache>
            </c:strRef>
          </c:cat>
          <c:val>
            <c:numRef>
              <c:f>'Pivot Table'!$B$59:$B$62</c:f>
              <c:numCache>
                <c:formatCode>General</c:formatCode>
                <c:ptCount val="3"/>
                <c:pt idx="0">
                  <c:v>15</c:v>
                </c:pt>
                <c:pt idx="1">
                  <c:v>112</c:v>
                </c:pt>
                <c:pt idx="2">
                  <c:v>41</c:v>
                </c:pt>
              </c:numCache>
            </c:numRef>
          </c:val>
          <c:extLst>
            <c:ext xmlns:c16="http://schemas.microsoft.com/office/drawing/2014/chart" uri="{C3380CC4-5D6E-409C-BE32-E72D297353CC}">
              <c16:uniqueId val="{00000000-D65B-4DB4-94A5-CA501475E00D}"/>
            </c:ext>
          </c:extLst>
        </c:ser>
        <c:dLbls>
          <c:showLegendKey val="0"/>
          <c:showVal val="0"/>
          <c:showCatName val="0"/>
          <c:showSerName val="0"/>
          <c:showPercent val="0"/>
          <c:showBubbleSize val="0"/>
        </c:dLbls>
        <c:gapWidth val="219"/>
        <c:overlap val="-27"/>
        <c:axId val="699170559"/>
        <c:axId val="699171999"/>
      </c:barChart>
      <c:catAx>
        <c:axId val="6991705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Price</a:t>
                </a:r>
                <a:r>
                  <a:rPr lang="en-ID" baseline="0"/>
                  <a:t> Buckets</a:t>
                </a:r>
                <a:endParaRPr lang="en-ID"/>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D"/>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171999"/>
        <c:crosses val="autoZero"/>
        <c:auto val="1"/>
        <c:lblAlgn val="ctr"/>
        <c:lblOffset val="100"/>
        <c:noMultiLvlLbl val="0"/>
      </c:catAx>
      <c:valAx>
        <c:axId val="6991719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Order</a:t>
                </a:r>
                <a:r>
                  <a:rPr lang="en-ID" baseline="0"/>
                  <a:t> Quantity</a:t>
                </a:r>
                <a:endParaRPr lang="en-ID"/>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D"/>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170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Sales Project.xlsx]Pivot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Order</a:t>
            </a:r>
            <a:r>
              <a:rPr lang="en-ID" baseline="0"/>
              <a:t> Quantity by Date</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Table'!$B$75</c:f>
              <c:strCache>
                <c:ptCount val="1"/>
                <c:pt idx="0">
                  <c:v>Total</c:v>
                </c:pt>
              </c:strCache>
            </c:strRef>
          </c:tx>
          <c:spPr>
            <a:ln w="28575" cap="rnd">
              <a:solidFill>
                <a:schemeClr val="accent1"/>
              </a:solidFill>
              <a:round/>
            </a:ln>
            <a:effectLst/>
          </c:spPr>
          <c:marker>
            <c:symbol val="none"/>
          </c:marker>
          <c:cat>
            <c:strRef>
              <c:f>'Pivot Table'!$A$76:$A$111</c:f>
              <c:strCache>
                <c:ptCount val="35"/>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strCache>
            </c:strRef>
          </c:cat>
          <c:val>
            <c:numRef>
              <c:f>'Pivot Table'!$B$76:$B$111</c:f>
              <c:numCache>
                <c:formatCode>General</c:formatCode>
                <c:ptCount val="35"/>
                <c:pt idx="0">
                  <c:v>3</c:v>
                </c:pt>
                <c:pt idx="1">
                  <c:v>7</c:v>
                </c:pt>
                <c:pt idx="2">
                  <c:v>3</c:v>
                </c:pt>
                <c:pt idx="3">
                  <c:v>5</c:v>
                </c:pt>
                <c:pt idx="4">
                  <c:v>2</c:v>
                </c:pt>
                <c:pt idx="5">
                  <c:v>7</c:v>
                </c:pt>
                <c:pt idx="6">
                  <c:v>4</c:v>
                </c:pt>
                <c:pt idx="7">
                  <c:v>5</c:v>
                </c:pt>
                <c:pt idx="8">
                  <c:v>5</c:v>
                </c:pt>
                <c:pt idx="9">
                  <c:v>6</c:v>
                </c:pt>
                <c:pt idx="10">
                  <c:v>5</c:v>
                </c:pt>
                <c:pt idx="11">
                  <c:v>5</c:v>
                </c:pt>
                <c:pt idx="12">
                  <c:v>3</c:v>
                </c:pt>
                <c:pt idx="13">
                  <c:v>4</c:v>
                </c:pt>
                <c:pt idx="14">
                  <c:v>7</c:v>
                </c:pt>
                <c:pt idx="15">
                  <c:v>4</c:v>
                </c:pt>
                <c:pt idx="16">
                  <c:v>5</c:v>
                </c:pt>
                <c:pt idx="17">
                  <c:v>5</c:v>
                </c:pt>
                <c:pt idx="18">
                  <c:v>6</c:v>
                </c:pt>
                <c:pt idx="19">
                  <c:v>5</c:v>
                </c:pt>
                <c:pt idx="20">
                  <c:v>5</c:v>
                </c:pt>
                <c:pt idx="21">
                  <c:v>3</c:v>
                </c:pt>
                <c:pt idx="22">
                  <c:v>4</c:v>
                </c:pt>
                <c:pt idx="23">
                  <c:v>7</c:v>
                </c:pt>
                <c:pt idx="24">
                  <c:v>4</c:v>
                </c:pt>
                <c:pt idx="25">
                  <c:v>5</c:v>
                </c:pt>
                <c:pt idx="26">
                  <c:v>5</c:v>
                </c:pt>
                <c:pt idx="27">
                  <c:v>6</c:v>
                </c:pt>
                <c:pt idx="28">
                  <c:v>5</c:v>
                </c:pt>
                <c:pt idx="29">
                  <c:v>5</c:v>
                </c:pt>
                <c:pt idx="30">
                  <c:v>3</c:v>
                </c:pt>
                <c:pt idx="31">
                  <c:v>9</c:v>
                </c:pt>
                <c:pt idx="32">
                  <c:v>2</c:v>
                </c:pt>
                <c:pt idx="33">
                  <c:v>3</c:v>
                </c:pt>
                <c:pt idx="34">
                  <c:v>6</c:v>
                </c:pt>
              </c:numCache>
            </c:numRef>
          </c:val>
          <c:smooth val="0"/>
          <c:extLst>
            <c:ext xmlns:c16="http://schemas.microsoft.com/office/drawing/2014/chart" uri="{C3380CC4-5D6E-409C-BE32-E72D297353CC}">
              <c16:uniqueId val="{00000000-15A4-4587-8212-FF93A4F84780}"/>
            </c:ext>
          </c:extLst>
        </c:ser>
        <c:dLbls>
          <c:showLegendKey val="0"/>
          <c:showVal val="0"/>
          <c:showCatName val="0"/>
          <c:showSerName val="0"/>
          <c:showPercent val="0"/>
          <c:showBubbleSize val="0"/>
        </c:dLbls>
        <c:smooth val="0"/>
        <c:axId val="699152799"/>
        <c:axId val="699175359"/>
      </c:lineChart>
      <c:catAx>
        <c:axId val="6991527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175359"/>
        <c:crosses val="autoZero"/>
        <c:auto val="1"/>
        <c:lblAlgn val="ctr"/>
        <c:lblOffset val="100"/>
        <c:noMultiLvlLbl val="0"/>
      </c:catAx>
      <c:valAx>
        <c:axId val="6991753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Order</a:t>
                </a:r>
                <a:r>
                  <a:rPr lang="en-ID" baseline="0"/>
                  <a:t> Quantity</a:t>
                </a:r>
                <a:endParaRPr lang="en-ID"/>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D"/>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9152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38100</xdr:colOff>
      <xdr:row>0</xdr:row>
      <xdr:rowOff>66675</xdr:rowOff>
    </xdr:from>
    <xdr:to>
      <xdr:col>9</xdr:col>
      <xdr:colOff>342900</xdr:colOff>
      <xdr:row>14</xdr:row>
      <xdr:rowOff>142875</xdr:rowOff>
    </xdr:to>
    <xdr:graphicFrame macro="">
      <xdr:nvGraphicFramePr>
        <xdr:cNvPr id="2" name="Chart 1">
          <a:extLst>
            <a:ext uri="{FF2B5EF4-FFF2-40B4-BE49-F238E27FC236}">
              <a16:creationId xmlns:a16="http://schemas.microsoft.com/office/drawing/2014/main" id="{2B032E55-45B4-30DD-E1B0-16B36D043E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247649</xdr:colOff>
      <xdr:row>16</xdr:row>
      <xdr:rowOff>95250</xdr:rowOff>
    </xdr:from>
    <xdr:to>
      <xdr:col>11</xdr:col>
      <xdr:colOff>219074</xdr:colOff>
      <xdr:row>30</xdr:row>
      <xdr:rowOff>171450</xdr:rowOff>
    </xdr:to>
    <xdr:graphicFrame macro="">
      <xdr:nvGraphicFramePr>
        <xdr:cNvPr id="3" name="Chart 2">
          <a:extLst>
            <a:ext uri="{FF2B5EF4-FFF2-40B4-BE49-F238E27FC236}">
              <a16:creationId xmlns:a16="http://schemas.microsoft.com/office/drawing/2014/main" id="{179132ED-0398-8A5C-AA75-246ABD4101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314325</xdr:colOff>
      <xdr:row>56</xdr:row>
      <xdr:rowOff>180975</xdr:rowOff>
    </xdr:from>
    <xdr:to>
      <xdr:col>10</xdr:col>
      <xdr:colOff>9525</xdr:colOff>
      <xdr:row>71</xdr:row>
      <xdr:rowOff>66675</xdr:rowOff>
    </xdr:to>
    <xdr:graphicFrame macro="">
      <xdr:nvGraphicFramePr>
        <xdr:cNvPr id="5" name="Chart 4">
          <a:extLst>
            <a:ext uri="{FF2B5EF4-FFF2-40B4-BE49-F238E27FC236}">
              <a16:creationId xmlns:a16="http://schemas.microsoft.com/office/drawing/2014/main" id="{AB7E2725-887A-0156-1B76-E0C0E8A31C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347662</xdr:colOff>
      <xdr:row>76</xdr:row>
      <xdr:rowOff>0</xdr:rowOff>
    </xdr:from>
    <xdr:to>
      <xdr:col>10</xdr:col>
      <xdr:colOff>42862</xdr:colOff>
      <xdr:row>90</xdr:row>
      <xdr:rowOff>76200</xdr:rowOff>
    </xdr:to>
    <xdr:graphicFrame macro="">
      <xdr:nvGraphicFramePr>
        <xdr:cNvPr id="6" name="Chart 5">
          <a:extLst>
            <a:ext uri="{FF2B5EF4-FFF2-40B4-BE49-F238E27FC236}">
              <a16:creationId xmlns:a16="http://schemas.microsoft.com/office/drawing/2014/main" id="{2C05D33C-6634-B800-9132-DB5EB0F14B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600075</xdr:colOff>
      <xdr:row>21</xdr:row>
      <xdr:rowOff>95249</xdr:rowOff>
    </xdr:from>
    <xdr:to>
      <xdr:col>12</xdr:col>
      <xdr:colOff>590550</xdr:colOff>
      <xdr:row>38</xdr:row>
      <xdr:rowOff>104775</xdr:rowOff>
    </xdr:to>
    <xdr:graphicFrame macro="">
      <xdr:nvGraphicFramePr>
        <xdr:cNvPr id="2" name="Chart 1">
          <a:extLst>
            <a:ext uri="{FF2B5EF4-FFF2-40B4-BE49-F238E27FC236}">
              <a16:creationId xmlns:a16="http://schemas.microsoft.com/office/drawing/2014/main" id="{2D6D5E30-610B-498A-AE41-7A484D481C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19050</xdr:colOff>
      <xdr:row>5</xdr:row>
      <xdr:rowOff>28574</xdr:rowOff>
    </xdr:from>
    <xdr:to>
      <xdr:col>12</xdr:col>
      <xdr:colOff>590550</xdr:colOff>
      <xdr:row>21</xdr:row>
      <xdr:rowOff>76200</xdr:rowOff>
    </xdr:to>
    <xdr:graphicFrame macro="">
      <xdr:nvGraphicFramePr>
        <xdr:cNvPr id="3" name="Chart 2">
          <a:extLst>
            <a:ext uri="{FF2B5EF4-FFF2-40B4-BE49-F238E27FC236}">
              <a16:creationId xmlns:a16="http://schemas.microsoft.com/office/drawing/2014/main" id="{FF5FB0DD-2A8E-4F99-896E-6B4CF7629B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9525</xdr:colOff>
      <xdr:row>21</xdr:row>
      <xdr:rowOff>114300</xdr:rowOff>
    </xdr:from>
    <xdr:to>
      <xdr:col>6</xdr:col>
      <xdr:colOff>600075</xdr:colOff>
      <xdr:row>38</xdr:row>
      <xdr:rowOff>85725</xdr:rowOff>
    </xdr:to>
    <xdr:graphicFrame macro="">
      <xdr:nvGraphicFramePr>
        <xdr:cNvPr id="4" name="Chart 3">
          <a:extLst>
            <a:ext uri="{FF2B5EF4-FFF2-40B4-BE49-F238E27FC236}">
              <a16:creationId xmlns:a16="http://schemas.microsoft.com/office/drawing/2014/main" id="{9587FDA2-78FE-46A9-9815-A1C8855703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581024</xdr:colOff>
      <xdr:row>38</xdr:row>
      <xdr:rowOff>104775</xdr:rowOff>
    </xdr:from>
    <xdr:to>
      <xdr:col>12</xdr:col>
      <xdr:colOff>590550</xdr:colOff>
      <xdr:row>52</xdr:row>
      <xdr:rowOff>180975</xdr:rowOff>
    </xdr:to>
    <xdr:graphicFrame macro="">
      <xdr:nvGraphicFramePr>
        <xdr:cNvPr id="5" name="Chart 4">
          <a:extLst>
            <a:ext uri="{FF2B5EF4-FFF2-40B4-BE49-F238E27FC236}">
              <a16:creationId xmlns:a16="http://schemas.microsoft.com/office/drawing/2014/main" id="{82C37330-0CD1-47F6-8366-163CC35641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5</xdr:row>
      <xdr:rowOff>19050</xdr:rowOff>
    </xdr:from>
    <xdr:to>
      <xdr:col>1</xdr:col>
      <xdr:colOff>600075</xdr:colOff>
      <xdr:row>12</xdr:row>
      <xdr:rowOff>171450</xdr:rowOff>
    </xdr:to>
    <mc:AlternateContent xmlns:mc="http://schemas.openxmlformats.org/markup-compatibility/2006">
      <mc:Choice xmlns:a14="http://schemas.microsoft.com/office/drawing/2010/main" Requires="a14">
        <xdr:graphicFrame macro="">
          <xdr:nvGraphicFramePr>
            <xdr:cNvPr id="6" name="Retail Price Buckets">
              <a:extLst>
                <a:ext uri="{FF2B5EF4-FFF2-40B4-BE49-F238E27FC236}">
                  <a16:creationId xmlns:a16="http://schemas.microsoft.com/office/drawing/2014/main" id="{85AFF697-DF74-238D-C62B-4E6305E5E4BA}"/>
                </a:ext>
              </a:extLst>
            </xdr:cNvPr>
            <xdr:cNvGraphicFramePr/>
          </xdr:nvGraphicFramePr>
          <xdr:xfrm>
            <a:off x="0" y="0"/>
            <a:ext cx="0" cy="0"/>
          </xdr:xfrm>
          <a:graphic>
            <a:graphicData uri="http://schemas.microsoft.com/office/drawing/2010/slicer">
              <sle:slicer xmlns:sle="http://schemas.microsoft.com/office/drawing/2010/slicer" name="Retail Price Buckets"/>
            </a:graphicData>
          </a:graphic>
        </xdr:graphicFrame>
      </mc:Choice>
      <mc:Fallback>
        <xdr:sp macro="" textlink="">
          <xdr:nvSpPr>
            <xdr:cNvPr id="0" name=""/>
            <xdr:cNvSpPr>
              <a:spLocks noTextEdit="1"/>
            </xdr:cNvSpPr>
          </xdr:nvSpPr>
          <xdr:spPr>
            <a:xfrm>
              <a:off x="0" y="971550"/>
              <a:ext cx="1209675" cy="148590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75.474442939812" createdVersion="8" refreshedVersion="8" minRefreshableVersion="3" recordCount="70" xr:uid="{2A48582D-8994-4A77-9080-2E3AD1FFFE50}">
  <cacheSource type="worksheet">
    <worksheetSource ref="A1:J71" sheet="Working Sheet"/>
  </cacheSource>
  <cacheFields count="12">
    <cacheField name="Order No" numFmtId="0">
      <sharedItems/>
    </cacheField>
    <cacheField name="Order Date" numFmtId="14">
      <sharedItems containsSemiMixedTypes="0" containsNonDate="0" containsDate="1" containsString="0" minDate="2024-01-01T00:00:00" maxDate="2024-02-05T00:00:00" count="35">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sharedItems>
      <fieldGroup par="11"/>
    </cacheField>
    <cacheField name="Customer Name" numFmtId="0">
      <sharedItems/>
    </cacheField>
    <cacheField name="Ship Date" numFmtId="14">
      <sharedItems containsSemiMixedTypes="0" containsNonDate="0" containsDate="1" containsString="0" minDate="2024-01-03T00:00:00" maxDate="2024-02-09T00:00:00"/>
    </cacheField>
    <cacheField name="Retail Price (USD)" numFmtId="0">
      <sharedItems containsSemiMixedTypes="0" containsString="0" containsNumber="1" containsInteger="1" minValue="20" maxValue="200"/>
    </cacheField>
    <cacheField name="Retail Price Buckets" numFmtId="0">
      <sharedItems count="3">
        <s v="Low Price"/>
        <s v="Medium Price"/>
        <s v="High Price"/>
      </sharedItems>
    </cacheField>
    <cacheField name="Order Quantity" numFmtId="0">
      <sharedItems containsSemiMixedTypes="0" containsString="0" containsNumber="1" containsInteger="1" minValue="1" maxValue="5"/>
    </cacheField>
    <cacheField name="Tax 10% (USD)" numFmtId="0">
      <sharedItems containsSemiMixedTypes="0" containsString="0" containsNumber="1" containsInteger="1" minValue="2" maxValue="20"/>
    </cacheField>
    <cacheField name="Price After Tax" numFmtId="0">
      <sharedItems containsSemiMixedTypes="0" containsString="0" containsNumber="1" containsInteger="1" minValue="18" maxValue="180"/>
    </cacheField>
    <cacheField name="Total (USD)" numFmtId="0">
      <sharedItems containsSemiMixedTypes="0" containsString="0" containsNumber="1" containsInteger="1" minValue="33" maxValue="310"/>
    </cacheField>
    <cacheField name="Days (Order Date)" numFmtId="0" databaseField="0">
      <fieldGroup base="1">
        <rangePr groupBy="days" startDate="2024-01-01T00:00:00" endDate="2024-02-05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5/02/2024"/>
        </groupItems>
      </fieldGroup>
    </cacheField>
    <cacheField name="Months (Order Date)" numFmtId="0" databaseField="0">
      <fieldGroup base="1">
        <rangePr groupBy="months" startDate="2024-01-01T00:00:00" endDate="2024-02-05T00:00:00"/>
        <groupItems count="14">
          <s v="&lt;01/01/2024"/>
          <s v="Jan"/>
          <s v="Feb"/>
          <s v="Mar"/>
          <s v="Apr"/>
          <s v="May"/>
          <s v="Jun"/>
          <s v="Jul"/>
          <s v="Aug"/>
          <s v="Sep"/>
          <s v="Oct"/>
          <s v="Nov"/>
          <s v="Dec"/>
          <s v="&gt;05/02/2024"/>
        </groupItems>
      </fieldGroup>
    </cacheField>
  </cacheFields>
  <extLst>
    <ext xmlns:x14="http://schemas.microsoft.com/office/spreadsheetml/2009/9/main" uri="{725AE2AE-9491-48be-B2B4-4EB974FC3084}">
      <x14:pivotCacheDefinition pivotCacheId="3961773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s v="1001"/>
    <x v="0"/>
    <s v="John Smith"/>
    <d v="2024-01-03T00:00:00"/>
    <n v="50"/>
    <x v="0"/>
    <n v="2"/>
    <n v="5"/>
    <n v="45"/>
    <n v="105"/>
  </r>
  <r>
    <s v="1002"/>
    <x v="0"/>
    <s v="Jane Doe"/>
    <d v="2024-01-04T00:00:00"/>
    <n v="30"/>
    <x v="0"/>
    <n v="1"/>
    <n v="3"/>
    <n v="27"/>
    <n v="33"/>
  </r>
  <r>
    <s v="1003"/>
    <x v="1"/>
    <s v="Michael Johnson"/>
    <d v="2024-01-07T00:00:00"/>
    <n v="100"/>
    <x v="1"/>
    <n v="3"/>
    <n v="10"/>
    <n v="90"/>
    <n v="310"/>
  </r>
  <r>
    <s v="1004"/>
    <x v="1"/>
    <s v="Emily Brown"/>
    <d v="2024-01-03T00:00:00"/>
    <n v="20"/>
    <x v="0"/>
    <n v="4"/>
    <n v="2"/>
    <n v="18"/>
    <n v="82"/>
  </r>
  <r>
    <s v="1005"/>
    <x v="2"/>
    <s v="David Wilson"/>
    <d v="2024-01-08T00:00:00"/>
    <n v="150"/>
    <x v="2"/>
    <n v="1"/>
    <n v="15"/>
    <n v="135"/>
    <n v="165"/>
  </r>
  <r>
    <s v="1006"/>
    <x v="2"/>
    <s v="Lisa Taylor"/>
    <d v="2024-01-06T00:00:00"/>
    <n v="80"/>
    <x v="1"/>
    <n v="2"/>
    <n v="8"/>
    <n v="72"/>
    <n v="168"/>
  </r>
  <r>
    <s v="1007"/>
    <x v="3"/>
    <s v="Daniel Martinez"/>
    <d v="2024-01-06T00:00:00"/>
    <n v="40"/>
    <x v="0"/>
    <n v="3"/>
    <n v="4"/>
    <n v="36"/>
    <n v="124"/>
  </r>
  <r>
    <s v="1008"/>
    <x v="3"/>
    <s v="Sarah Anderson"/>
    <d v="2024-01-09T00:00:00"/>
    <n v="70"/>
    <x v="1"/>
    <n v="2"/>
    <n v="7"/>
    <n v="63"/>
    <n v="147"/>
  </r>
  <r>
    <s v="1009"/>
    <x v="4"/>
    <s v="Christopher Thomas"/>
    <d v="2024-01-06T00:00:00"/>
    <n v="90"/>
    <x v="1"/>
    <n v="1"/>
    <n v="9"/>
    <n v="81"/>
    <n v="99"/>
  </r>
  <r>
    <s v="1010"/>
    <x v="4"/>
    <s v="Kimberly Garcia"/>
    <d v="2024-01-08T00:00:00"/>
    <n v="200"/>
    <x v="2"/>
    <n v="1"/>
    <n v="20"/>
    <n v="180"/>
    <n v="220"/>
  </r>
  <r>
    <s v="1011"/>
    <x v="5"/>
    <s v="William Hernandez"/>
    <d v="2024-01-07T00:00:00"/>
    <n v="30"/>
    <x v="0"/>
    <n v="5"/>
    <n v="3"/>
    <n v="27"/>
    <n v="153"/>
  </r>
  <r>
    <s v="1012"/>
    <x v="5"/>
    <s v="Melissa Lopez"/>
    <d v="2024-01-08T00:00:00"/>
    <n v="80"/>
    <x v="1"/>
    <n v="2"/>
    <n v="8"/>
    <n v="72"/>
    <n v="168"/>
  </r>
  <r>
    <s v="1013"/>
    <x v="6"/>
    <s v="Richard Perez"/>
    <d v="2024-01-09T00:00:00"/>
    <n v="50"/>
    <x v="0"/>
    <n v="3"/>
    <n v="5"/>
    <n v="45"/>
    <n v="155"/>
  </r>
  <r>
    <s v="1014"/>
    <x v="6"/>
    <s v="Jessica Gonzalez"/>
    <d v="2024-01-12T00:00:00"/>
    <n v="130"/>
    <x v="1"/>
    <n v="1"/>
    <n v="13"/>
    <n v="117"/>
    <n v="143"/>
  </r>
  <r>
    <s v="1015"/>
    <x v="7"/>
    <s v="Matthew Wilson"/>
    <d v="2024-01-13T00:00:00"/>
    <n v="20"/>
    <x v="0"/>
    <n v="4"/>
    <n v="2"/>
    <n v="18"/>
    <n v="82"/>
  </r>
  <r>
    <s v="1016"/>
    <x v="7"/>
    <s v="Amanda Martinez"/>
    <d v="2024-01-12T00:00:00"/>
    <n v="150"/>
    <x v="2"/>
    <n v="1"/>
    <n v="15"/>
    <n v="135"/>
    <n v="165"/>
  </r>
  <r>
    <s v="1017"/>
    <x v="8"/>
    <s v="James Johnson"/>
    <d v="2024-01-14T00:00:00"/>
    <n v="70"/>
    <x v="1"/>
    <n v="2"/>
    <n v="7"/>
    <n v="63"/>
    <n v="147"/>
  </r>
  <r>
    <s v="1018"/>
    <x v="8"/>
    <s v="Laura Brown"/>
    <d v="2024-01-12T00:00:00"/>
    <n v="40"/>
    <x v="0"/>
    <n v="3"/>
    <n v="4"/>
    <n v="36"/>
    <n v="124"/>
  </r>
  <r>
    <s v="1019"/>
    <x v="9"/>
    <s v="Daniel Smith"/>
    <d v="2024-01-11T00:00:00"/>
    <n v="200"/>
    <x v="2"/>
    <n v="1"/>
    <n v="20"/>
    <n v="180"/>
    <n v="220"/>
  </r>
  <r>
    <s v="1020"/>
    <x v="9"/>
    <s v="Jennifer Davis"/>
    <d v="2024-01-14T00:00:00"/>
    <n v="30"/>
    <x v="0"/>
    <n v="5"/>
    <n v="3"/>
    <n v="27"/>
    <n v="153"/>
  </r>
  <r>
    <s v="1021"/>
    <x v="10"/>
    <s v="Michael Garcia"/>
    <d v="2024-01-14T00:00:00"/>
    <n v="80"/>
    <x v="1"/>
    <n v="2"/>
    <n v="8"/>
    <n v="72"/>
    <n v="168"/>
  </r>
  <r>
    <s v="1022"/>
    <x v="10"/>
    <s v="Amy Hernandez"/>
    <d v="2024-01-15T00:00:00"/>
    <n v="50"/>
    <x v="0"/>
    <n v="3"/>
    <n v="5"/>
    <n v="45"/>
    <n v="155"/>
  </r>
  <r>
    <s v="1023"/>
    <x v="11"/>
    <s v="Christopher Rodriguez"/>
    <d v="2024-01-17T00:00:00"/>
    <n v="130"/>
    <x v="1"/>
    <n v="1"/>
    <n v="13"/>
    <n v="117"/>
    <n v="143"/>
  </r>
  <r>
    <s v="1024"/>
    <x v="11"/>
    <s v="Jessica Martinez"/>
    <d v="2024-01-17T00:00:00"/>
    <n v="20"/>
    <x v="0"/>
    <n v="4"/>
    <n v="2"/>
    <n v="18"/>
    <n v="82"/>
  </r>
  <r>
    <s v="1025"/>
    <x v="12"/>
    <s v="David Wilson"/>
    <d v="2024-01-17T00:00:00"/>
    <n v="150"/>
    <x v="2"/>
    <n v="1"/>
    <n v="15"/>
    <n v="135"/>
    <n v="165"/>
  </r>
  <r>
    <s v="1026"/>
    <x v="12"/>
    <s v="Sarah Smith"/>
    <d v="2024-01-14T00:00:00"/>
    <n v="70"/>
    <x v="1"/>
    <n v="2"/>
    <n v="7"/>
    <n v="63"/>
    <n v="147"/>
  </r>
  <r>
    <s v="1027"/>
    <x v="13"/>
    <s v="Matthew Johnson"/>
    <d v="2024-01-18T00:00:00"/>
    <n v="40"/>
    <x v="0"/>
    <n v="3"/>
    <n v="4"/>
    <n v="36"/>
    <n v="124"/>
  </r>
  <r>
    <s v="1028"/>
    <x v="13"/>
    <s v="Emily Davis"/>
    <d v="2024-01-19T00:00:00"/>
    <n v="200"/>
    <x v="2"/>
    <n v="1"/>
    <n v="20"/>
    <n v="180"/>
    <n v="220"/>
  </r>
  <r>
    <s v="1029"/>
    <x v="14"/>
    <s v="Daniel Wilson"/>
    <d v="2024-01-19T00:00:00"/>
    <n v="30"/>
    <x v="0"/>
    <n v="5"/>
    <n v="3"/>
    <n v="27"/>
    <n v="153"/>
  </r>
  <r>
    <s v="1030"/>
    <x v="14"/>
    <s v="Jennifer Martinez"/>
    <d v="2024-01-19T00:00:00"/>
    <n v="80"/>
    <x v="1"/>
    <n v="2"/>
    <n v="8"/>
    <n v="72"/>
    <n v="168"/>
  </r>
  <r>
    <s v="1031"/>
    <x v="15"/>
    <s v="Michael Smith"/>
    <d v="2024-01-19T00:00:00"/>
    <n v="50"/>
    <x v="0"/>
    <n v="3"/>
    <n v="5"/>
    <n v="45"/>
    <n v="155"/>
  </r>
  <r>
    <s v="1032"/>
    <x v="15"/>
    <s v="Jessica Johnson"/>
    <d v="2024-01-17T00:00:00"/>
    <n v="130"/>
    <x v="1"/>
    <n v="1"/>
    <n v="13"/>
    <n v="117"/>
    <n v="143"/>
  </r>
  <r>
    <s v="1033"/>
    <x v="16"/>
    <s v="David Brown"/>
    <d v="2024-01-19T00:00:00"/>
    <n v="20"/>
    <x v="0"/>
    <n v="4"/>
    <n v="2"/>
    <n v="18"/>
    <n v="82"/>
  </r>
  <r>
    <s v="1034"/>
    <x v="16"/>
    <s v="Sarah Garcia"/>
    <d v="2024-01-19T00:00:00"/>
    <n v="150"/>
    <x v="2"/>
    <n v="1"/>
    <n v="15"/>
    <n v="135"/>
    <n v="165"/>
  </r>
  <r>
    <s v="1035"/>
    <x v="17"/>
    <s v="Matthew Hernandez"/>
    <d v="2024-01-23T00:00:00"/>
    <n v="70"/>
    <x v="1"/>
    <n v="2"/>
    <n v="7"/>
    <n v="63"/>
    <n v="147"/>
  </r>
  <r>
    <s v="1036"/>
    <x v="17"/>
    <s v="Emily Rodriguez"/>
    <d v="2024-01-19T00:00:00"/>
    <n v="40"/>
    <x v="0"/>
    <n v="3"/>
    <n v="4"/>
    <n v="36"/>
    <n v="124"/>
  </r>
  <r>
    <s v="1037"/>
    <x v="18"/>
    <s v="Daniel Davis"/>
    <d v="2024-01-20T00:00:00"/>
    <n v="200"/>
    <x v="2"/>
    <n v="1"/>
    <n v="20"/>
    <n v="180"/>
    <n v="220"/>
  </r>
  <r>
    <s v="1038"/>
    <x v="18"/>
    <s v="Jennifer Smith"/>
    <d v="2024-01-22T00:00:00"/>
    <n v="30"/>
    <x v="0"/>
    <n v="5"/>
    <n v="3"/>
    <n v="27"/>
    <n v="153"/>
  </r>
  <r>
    <s v="1039"/>
    <x v="19"/>
    <s v="Michael Johnson"/>
    <d v="2024-01-24T00:00:00"/>
    <n v="80"/>
    <x v="1"/>
    <n v="2"/>
    <n v="8"/>
    <n v="72"/>
    <n v="168"/>
  </r>
  <r>
    <s v="1040"/>
    <x v="19"/>
    <s v="Jessica Martinez"/>
    <d v="2024-01-21T00:00:00"/>
    <n v="50"/>
    <x v="0"/>
    <n v="3"/>
    <n v="5"/>
    <n v="45"/>
    <n v="155"/>
  </r>
  <r>
    <s v="1041"/>
    <x v="20"/>
    <s v="David Wilson"/>
    <d v="2024-01-26T00:00:00"/>
    <n v="130"/>
    <x v="1"/>
    <n v="1"/>
    <n v="13"/>
    <n v="117"/>
    <n v="143"/>
  </r>
  <r>
    <s v="1042"/>
    <x v="20"/>
    <s v="Sarah Johnson"/>
    <d v="2024-01-23T00:00:00"/>
    <n v="20"/>
    <x v="0"/>
    <n v="4"/>
    <n v="2"/>
    <n v="18"/>
    <n v="82"/>
  </r>
  <r>
    <s v="1043"/>
    <x v="21"/>
    <s v="Matthew Garcia"/>
    <d v="2024-01-25T00:00:00"/>
    <n v="150"/>
    <x v="2"/>
    <n v="1"/>
    <n v="15"/>
    <n v="135"/>
    <n v="165"/>
  </r>
  <r>
    <s v="1044"/>
    <x v="21"/>
    <s v="Emily Brown"/>
    <d v="2024-01-25T00:00:00"/>
    <n v="70"/>
    <x v="1"/>
    <n v="2"/>
    <n v="7"/>
    <n v="63"/>
    <n v="147"/>
  </r>
  <r>
    <s v="1045"/>
    <x v="22"/>
    <s v="Daniel Hernandez"/>
    <d v="2024-01-27T00:00:00"/>
    <n v="40"/>
    <x v="0"/>
    <n v="3"/>
    <n v="4"/>
    <n v="36"/>
    <n v="124"/>
  </r>
  <r>
    <s v="1046"/>
    <x v="22"/>
    <s v="Jennifer Davis"/>
    <d v="2024-01-26T00:00:00"/>
    <n v="200"/>
    <x v="2"/>
    <n v="1"/>
    <n v="20"/>
    <n v="180"/>
    <n v="220"/>
  </r>
  <r>
    <s v="1047"/>
    <x v="23"/>
    <s v="Michael Martinez"/>
    <d v="2024-01-25T00:00:00"/>
    <n v="30"/>
    <x v="0"/>
    <n v="5"/>
    <n v="3"/>
    <n v="27"/>
    <n v="153"/>
  </r>
  <r>
    <s v="1048"/>
    <x v="23"/>
    <s v="Jessica Wilson"/>
    <d v="2024-01-26T00:00:00"/>
    <n v="80"/>
    <x v="1"/>
    <n v="2"/>
    <n v="8"/>
    <n v="72"/>
    <n v="168"/>
  </r>
  <r>
    <s v="1049"/>
    <x v="24"/>
    <s v="David Rodriguez"/>
    <d v="2024-01-30T00:00:00"/>
    <n v="50"/>
    <x v="0"/>
    <n v="3"/>
    <n v="5"/>
    <n v="45"/>
    <n v="155"/>
  </r>
  <r>
    <s v="1050"/>
    <x v="24"/>
    <s v="Sarah Gonzalez"/>
    <d v="2024-01-27T00:00:00"/>
    <n v="130"/>
    <x v="1"/>
    <n v="1"/>
    <n v="13"/>
    <n v="117"/>
    <n v="143"/>
  </r>
  <r>
    <s v="1051"/>
    <x v="25"/>
    <s v="Matthew Smith"/>
    <d v="2024-01-29T00:00:00"/>
    <n v="20"/>
    <x v="0"/>
    <n v="4"/>
    <n v="2"/>
    <n v="18"/>
    <n v="82"/>
  </r>
  <r>
    <s v="1052"/>
    <x v="25"/>
    <s v="Emily Johnson"/>
    <d v="2024-01-28T00:00:00"/>
    <n v="150"/>
    <x v="2"/>
    <n v="1"/>
    <n v="15"/>
    <n v="135"/>
    <n v="165"/>
  </r>
  <r>
    <s v="1053"/>
    <x v="26"/>
    <s v="Daniel Brown"/>
    <d v="2024-01-31T00:00:00"/>
    <n v="70"/>
    <x v="1"/>
    <n v="2"/>
    <n v="7"/>
    <n v="63"/>
    <n v="147"/>
  </r>
  <r>
    <s v="1054"/>
    <x v="26"/>
    <s v="Jennifer Hernandez"/>
    <d v="2024-01-31T00:00:00"/>
    <n v="40"/>
    <x v="0"/>
    <n v="3"/>
    <n v="4"/>
    <n v="36"/>
    <n v="124"/>
  </r>
  <r>
    <s v="1055"/>
    <x v="27"/>
    <s v="Michael Davis"/>
    <d v="2024-01-29T00:00:00"/>
    <n v="200"/>
    <x v="2"/>
    <n v="1"/>
    <n v="20"/>
    <n v="180"/>
    <n v="220"/>
  </r>
  <r>
    <s v="1056"/>
    <x v="27"/>
    <s v="Jessica Smith"/>
    <d v="2024-01-29T00:00:00"/>
    <n v="30"/>
    <x v="0"/>
    <n v="5"/>
    <n v="3"/>
    <n v="27"/>
    <n v="153"/>
  </r>
  <r>
    <s v="1057"/>
    <x v="28"/>
    <s v="David Martinez"/>
    <d v="2024-01-30T00:00:00"/>
    <n v="80"/>
    <x v="1"/>
    <n v="2"/>
    <n v="8"/>
    <n v="72"/>
    <n v="168"/>
  </r>
  <r>
    <s v="1058"/>
    <x v="28"/>
    <s v="Sarah Johnson"/>
    <d v="2024-01-31T00:00:00"/>
    <n v="50"/>
    <x v="0"/>
    <n v="3"/>
    <n v="5"/>
    <n v="45"/>
    <n v="155"/>
  </r>
  <r>
    <s v="1059"/>
    <x v="29"/>
    <s v="Matthew Garcia"/>
    <d v="2024-01-31T00:00:00"/>
    <n v="130"/>
    <x v="1"/>
    <n v="1"/>
    <n v="13"/>
    <n v="117"/>
    <n v="143"/>
  </r>
  <r>
    <s v="1060"/>
    <x v="29"/>
    <s v="Emily Brown"/>
    <d v="2024-02-01T00:00:00"/>
    <n v="20"/>
    <x v="0"/>
    <n v="4"/>
    <n v="2"/>
    <n v="18"/>
    <n v="82"/>
  </r>
  <r>
    <s v="1061"/>
    <x v="30"/>
    <s v="Daniel Hernandez"/>
    <d v="2024-02-02T00:00:00"/>
    <n v="150"/>
    <x v="2"/>
    <n v="1"/>
    <n v="15"/>
    <n v="135"/>
    <n v="165"/>
  </r>
  <r>
    <s v="1062"/>
    <x v="30"/>
    <s v="Jennifer Davis"/>
    <d v="2024-02-04T00:00:00"/>
    <n v="70"/>
    <x v="1"/>
    <n v="2"/>
    <n v="7"/>
    <n v="63"/>
    <n v="147"/>
  </r>
  <r>
    <s v="1063"/>
    <x v="31"/>
    <s v="Michael Martinez"/>
    <d v="2024-02-02T00:00:00"/>
    <n v="40"/>
    <x v="0"/>
    <n v="3"/>
    <n v="4"/>
    <n v="36"/>
    <n v="124"/>
  </r>
  <r>
    <s v="1064"/>
    <x v="31"/>
    <s v="Jessica Wilson"/>
    <d v="2024-02-05T00:00:00"/>
    <n v="200"/>
    <x v="2"/>
    <n v="1"/>
    <n v="20"/>
    <n v="180"/>
    <n v="220"/>
  </r>
  <r>
    <s v="1065"/>
    <x v="31"/>
    <s v="David Rodriguez"/>
    <d v="2024-02-03T00:00:00"/>
    <n v="30"/>
    <x v="0"/>
    <n v="5"/>
    <n v="3"/>
    <n v="27"/>
    <n v="153"/>
  </r>
  <r>
    <s v="1066"/>
    <x v="32"/>
    <s v="Sarah Gonzalez"/>
    <d v="2024-02-06T00:00:00"/>
    <n v="80"/>
    <x v="1"/>
    <n v="2"/>
    <n v="8"/>
    <n v="72"/>
    <n v="168"/>
  </r>
  <r>
    <s v="1067"/>
    <x v="33"/>
    <s v="Matthew Smith"/>
    <d v="2024-02-06T00:00:00"/>
    <n v="50"/>
    <x v="0"/>
    <n v="3"/>
    <n v="5"/>
    <n v="45"/>
    <n v="155"/>
  </r>
  <r>
    <s v="1068"/>
    <x v="34"/>
    <s v="Emily Johnson"/>
    <d v="2024-02-05T00:00:00"/>
    <n v="130"/>
    <x v="1"/>
    <n v="1"/>
    <n v="13"/>
    <n v="117"/>
    <n v="143"/>
  </r>
  <r>
    <s v="1069"/>
    <x v="34"/>
    <s v="Daniel Brown"/>
    <d v="2024-02-08T00:00:00"/>
    <n v="20"/>
    <x v="0"/>
    <n v="4"/>
    <n v="2"/>
    <n v="18"/>
    <n v="82"/>
  </r>
  <r>
    <s v="1070"/>
    <x v="34"/>
    <s v="Jennifer Hernandez"/>
    <d v="2024-02-07T00:00:00"/>
    <n v="150"/>
    <x v="2"/>
    <n v="1"/>
    <n v="15"/>
    <n v="135"/>
    <n v="1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86124F-DD6F-48C5-B1B4-2ADFDA3FF744}"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5:B111" firstHeaderRow="1" firstDataRow="1" firstDataCol="1"/>
  <pivotFields count="12">
    <pivotField showAll="0"/>
    <pivotField axis="axisRow" numFmtId="14"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showAll="0"/>
    <pivotField numFmtId="14" showAll="0"/>
    <pivotField showAll="0"/>
    <pivotField showAll="0"/>
    <pivotField dataField="1" showAll="0"/>
    <pivotField showAll="0"/>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s>
  <rowFields count="2">
    <field x="10"/>
    <field x="1"/>
  </rowFields>
  <rowItems count="36">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Sum of Order Quantity" fld="6"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2C27E6-D0A5-43D9-8053-9CC1D91D16C7}"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8:B62" firstHeaderRow="1" firstDataRow="1" firstDataCol="1"/>
  <pivotFields count="12">
    <pivotField showAll="0"/>
    <pivotField numFmtId="14"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showAll="0"/>
    <pivotField numFmtId="14" showAll="0"/>
    <pivotField showAll="0"/>
    <pivotField axis="axisRow" showAll="0">
      <items count="4">
        <item x="2"/>
        <item x="0"/>
        <item x="1"/>
        <item t="default"/>
      </items>
    </pivotField>
    <pivotField dataField="1"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4">
    <i>
      <x/>
    </i>
    <i>
      <x v="1"/>
    </i>
    <i>
      <x v="2"/>
    </i>
    <i t="grand">
      <x/>
    </i>
  </rowItems>
  <colItems count="1">
    <i/>
  </colItems>
  <dataFields count="1">
    <dataField name="Sum of Order Quantity" fld="6"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F82566E-B931-484A-9A61-4212C176B0C0}"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8:B54" firstHeaderRow="1" firstDataRow="1" firstDataCol="1"/>
  <pivotFields count="12">
    <pivotField showAll="0"/>
    <pivotField axis="axisRow" numFmtId="14"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showAll="0"/>
    <pivotField numFmtId="14" showAll="0"/>
    <pivotField dataField="1" showAll="0"/>
    <pivotField showAll="0">
      <items count="4">
        <item x="2"/>
        <item x="0"/>
        <item x="1"/>
        <item t="default"/>
      </items>
    </pivotField>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2">
    <field x="10"/>
    <field x="1"/>
  </rowFields>
  <rowItems count="36">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Sum of Retail Price (USD)"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97E5C4-F39F-4F46-BD61-204A2402E2F6}"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5" firstHeaderRow="1" firstDataRow="1" firstDataCol="1"/>
  <pivotFields count="12">
    <pivotField showAll="0"/>
    <pivotField numFmtId="14" showAll="0">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dataField="1" showAll="0"/>
    <pivotField numFmtId="14" showAll="0"/>
    <pivotField showAll="0"/>
    <pivotField axis="axisRow" showAll="0">
      <items count="4">
        <item x="2"/>
        <item x="0"/>
        <item x="1"/>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4">
    <i>
      <x/>
    </i>
    <i>
      <x v="1"/>
    </i>
    <i>
      <x v="2"/>
    </i>
    <i t="grand">
      <x/>
    </i>
  </rowItems>
  <colItems count="1">
    <i/>
  </colItems>
  <dataFields count="1">
    <dataField name="Count of Customer Name" fld="2" subtotal="count" baseField="0" baseItem="0"/>
  </dataFields>
  <chartFormats count="5">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5" count="1" selected="0">
            <x v="0"/>
          </reference>
        </references>
      </pivotArea>
    </chartFormat>
    <chartFormat chart="4" format="7">
      <pivotArea type="data" outline="0" fieldPosition="0">
        <references count="2">
          <reference field="4294967294" count="1" selected="0">
            <x v="0"/>
          </reference>
          <reference field="5" count="1" selected="0">
            <x v="1"/>
          </reference>
        </references>
      </pivotArea>
    </chartFormat>
    <chartFormat chart="4"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ail_Price_Buckets" xr10:uid="{5DB9E381-0C66-48F4-8B5A-DCD7400F56D4}" sourceName="Retail Price Buckets">
  <pivotTables>
    <pivotTable tabId="4" name="PivotTable2"/>
    <pivotTable tabId="4" name="PivotTable1"/>
    <pivotTable tabId="4" name="PivotTable3"/>
  </pivotTables>
  <data>
    <tabular pivotCacheId="396177374">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tail Price Buckets" xr10:uid="{131E2662-0643-4436-8071-7EA956AD81BB}" cache="Slicer_Retail_Price_Buckets" caption="Retail Price Buckets"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4B641-85A2-41D5-8251-12E6997024AE}">
  <dimension ref="B2:I80"/>
  <sheetViews>
    <sheetView showGridLines="0" workbookViewId="0">
      <selection activeCell="J61" sqref="J61"/>
    </sheetView>
  </sheetViews>
  <sheetFormatPr defaultColWidth="8.85546875" defaultRowHeight="15" x14ac:dyDescent="0.25"/>
  <cols>
    <col min="1" max="1" width="4.42578125" style="2" customWidth="1"/>
    <col min="2" max="2" width="10.140625" style="2" bestFit="1" customWidth="1"/>
    <col min="3" max="3" width="13.7109375" style="2" customWidth="1"/>
    <col min="4" max="4" width="19.42578125" style="2" customWidth="1"/>
    <col min="5" max="5" width="13.5703125" style="2" customWidth="1"/>
    <col min="6" max="6" width="19.5703125" style="2" customWidth="1"/>
    <col min="7" max="7" width="17.28515625" style="2" customWidth="1"/>
    <col min="8" max="8" width="11" style="2" customWidth="1"/>
    <col min="9" max="9" width="13.28515625" style="2" customWidth="1"/>
    <col min="10" max="16384" width="8.85546875" style="2"/>
  </cols>
  <sheetData>
    <row r="2" spans="2:9" ht="19.5" thickBot="1" x14ac:dyDescent="0.3">
      <c r="B2" s="1" t="s">
        <v>0</v>
      </c>
      <c r="C2" s="1"/>
      <c r="D2" s="1"/>
      <c r="E2" s="1"/>
      <c r="F2" s="1"/>
      <c r="G2" s="1"/>
      <c r="H2" s="1"/>
      <c r="I2" s="1"/>
    </row>
    <row r="4" spans="2:9" ht="19.5" thickBot="1" x14ac:dyDescent="0.3">
      <c r="B4" s="3" t="s">
        <v>1</v>
      </c>
      <c r="C4" s="1"/>
      <c r="D4" s="1"/>
      <c r="E4" s="1"/>
      <c r="F4" s="1"/>
      <c r="G4" s="1"/>
      <c r="H4" s="1"/>
      <c r="I4" s="1"/>
    </row>
    <row r="6" spans="2:9" ht="15.75" x14ac:dyDescent="0.25">
      <c r="H6" s="4" t="s">
        <v>2</v>
      </c>
      <c r="I6" s="5">
        <v>0.1</v>
      </c>
    </row>
    <row r="8" spans="2:9" ht="15.75" x14ac:dyDescent="0.25">
      <c r="B8" s="4" t="s">
        <v>3</v>
      </c>
      <c r="C8" s="4" t="s">
        <v>4</v>
      </c>
      <c r="D8" s="4" t="s">
        <v>5</v>
      </c>
      <c r="E8" s="4" t="s">
        <v>6</v>
      </c>
      <c r="F8" s="4" t="s">
        <v>7</v>
      </c>
      <c r="G8" s="4" t="s">
        <v>8</v>
      </c>
      <c r="H8" s="4" t="s">
        <v>9</v>
      </c>
      <c r="I8" s="6" t="s">
        <v>10</v>
      </c>
    </row>
    <row r="9" spans="2:9" x14ac:dyDescent="0.25">
      <c r="B9" s="7" t="s">
        <v>11</v>
      </c>
      <c r="C9" s="8">
        <v>45292</v>
      </c>
      <c r="D9" s="7" t="s">
        <v>12</v>
      </c>
      <c r="E9" s="8">
        <v>45294</v>
      </c>
      <c r="F9" s="7">
        <v>49.99</v>
      </c>
      <c r="G9" s="7">
        <v>2</v>
      </c>
      <c r="H9" s="7">
        <f>F9*G9*$I$6</f>
        <v>9.9980000000000011</v>
      </c>
      <c r="I9" s="7">
        <f>F9*G9+H9</f>
        <v>109.97800000000001</v>
      </c>
    </row>
    <row r="10" spans="2:9" x14ac:dyDescent="0.25">
      <c r="B10" s="7" t="s">
        <v>13</v>
      </c>
      <c r="C10" s="8">
        <v>45292</v>
      </c>
      <c r="D10" s="7" t="s">
        <v>14</v>
      </c>
      <c r="E10" s="8">
        <v>45295</v>
      </c>
      <c r="F10" s="7">
        <v>29.99</v>
      </c>
      <c r="G10" s="7">
        <v>1</v>
      </c>
      <c r="H10" s="7">
        <f t="shared" ref="H10:H73" si="0">F10*G10*$I$6</f>
        <v>2.9990000000000001</v>
      </c>
      <c r="I10" s="7">
        <f t="shared" ref="I10:I73" si="1">F10*G10+H10</f>
        <v>32.988999999999997</v>
      </c>
    </row>
    <row r="11" spans="2:9" x14ac:dyDescent="0.25">
      <c r="B11" s="7" t="s">
        <v>15</v>
      </c>
      <c r="C11" s="8">
        <v>45293</v>
      </c>
      <c r="D11" s="7" t="s">
        <v>16</v>
      </c>
      <c r="E11" s="8">
        <v>45298</v>
      </c>
      <c r="F11" s="7">
        <v>99.99</v>
      </c>
      <c r="G11" s="7">
        <v>3</v>
      </c>
      <c r="H11" s="7">
        <f t="shared" si="0"/>
        <v>29.997</v>
      </c>
      <c r="I11" s="7">
        <f t="shared" si="1"/>
        <v>329.96699999999998</v>
      </c>
    </row>
    <row r="12" spans="2:9" x14ac:dyDescent="0.25">
      <c r="B12" s="7" t="s">
        <v>17</v>
      </c>
      <c r="C12" s="8">
        <v>45293</v>
      </c>
      <c r="D12" s="7" t="s">
        <v>18</v>
      </c>
      <c r="E12" s="8">
        <v>45294</v>
      </c>
      <c r="F12" s="7">
        <v>19.989999999999998</v>
      </c>
      <c r="G12" s="7">
        <v>4</v>
      </c>
      <c r="H12" s="7">
        <f t="shared" si="0"/>
        <v>7.9959999999999996</v>
      </c>
      <c r="I12" s="7">
        <f t="shared" si="1"/>
        <v>87.955999999999989</v>
      </c>
    </row>
    <row r="13" spans="2:9" x14ac:dyDescent="0.25">
      <c r="B13" s="7" t="s">
        <v>19</v>
      </c>
      <c r="C13" s="8">
        <v>45294</v>
      </c>
      <c r="D13" s="7" t="s">
        <v>20</v>
      </c>
      <c r="E13" s="8">
        <v>45299</v>
      </c>
      <c r="F13" s="7">
        <v>149.99</v>
      </c>
      <c r="G13" s="7">
        <v>1</v>
      </c>
      <c r="H13" s="7">
        <f t="shared" si="0"/>
        <v>14.999000000000002</v>
      </c>
      <c r="I13" s="7">
        <f t="shared" si="1"/>
        <v>164.989</v>
      </c>
    </row>
    <row r="14" spans="2:9" x14ac:dyDescent="0.25">
      <c r="B14" s="7" t="s">
        <v>21</v>
      </c>
      <c r="C14" s="8">
        <v>45294</v>
      </c>
      <c r="D14" s="7" t="s">
        <v>22</v>
      </c>
      <c r="E14" s="8">
        <v>45297</v>
      </c>
      <c r="F14" s="7">
        <v>79.989999999999995</v>
      </c>
      <c r="G14" s="7">
        <v>2</v>
      </c>
      <c r="H14" s="7">
        <f t="shared" si="0"/>
        <v>15.997999999999999</v>
      </c>
      <c r="I14" s="7">
        <f t="shared" si="1"/>
        <v>175.97799999999998</v>
      </c>
    </row>
    <row r="15" spans="2:9" x14ac:dyDescent="0.25">
      <c r="B15" s="7" t="s">
        <v>23</v>
      </c>
      <c r="C15" s="8">
        <v>45295</v>
      </c>
      <c r="D15" s="7" t="s">
        <v>24</v>
      </c>
      <c r="E15" s="8">
        <v>45297</v>
      </c>
      <c r="F15" s="7">
        <v>39.99</v>
      </c>
      <c r="G15" s="7">
        <v>3</v>
      </c>
      <c r="H15" s="7">
        <f t="shared" si="0"/>
        <v>11.997</v>
      </c>
      <c r="I15" s="7">
        <f t="shared" si="1"/>
        <v>131.96699999999998</v>
      </c>
    </row>
    <row r="16" spans="2:9" x14ac:dyDescent="0.25">
      <c r="B16" s="7" t="s">
        <v>25</v>
      </c>
      <c r="C16" s="8">
        <v>45295</v>
      </c>
      <c r="D16" s="7" t="s">
        <v>26</v>
      </c>
      <c r="E16" s="8">
        <v>45300</v>
      </c>
      <c r="F16" s="7">
        <v>69.989999999999995</v>
      </c>
      <c r="G16" s="7">
        <v>2</v>
      </c>
      <c r="H16" s="7">
        <f t="shared" si="0"/>
        <v>13.997999999999999</v>
      </c>
      <c r="I16" s="7">
        <f t="shared" si="1"/>
        <v>153.97799999999998</v>
      </c>
    </row>
    <row r="17" spans="2:9" x14ac:dyDescent="0.25">
      <c r="B17" s="7" t="s">
        <v>27</v>
      </c>
      <c r="C17" s="8">
        <v>45296</v>
      </c>
      <c r="D17" s="7" t="s">
        <v>28</v>
      </c>
      <c r="E17" s="8">
        <v>45297</v>
      </c>
      <c r="F17" s="7">
        <v>89.99</v>
      </c>
      <c r="G17" s="7">
        <v>1</v>
      </c>
      <c r="H17" s="7">
        <f t="shared" si="0"/>
        <v>8.9990000000000006</v>
      </c>
      <c r="I17" s="7">
        <f t="shared" si="1"/>
        <v>98.98899999999999</v>
      </c>
    </row>
    <row r="18" spans="2:9" x14ac:dyDescent="0.25">
      <c r="B18" s="7" t="s">
        <v>29</v>
      </c>
      <c r="C18" s="8">
        <v>45296</v>
      </c>
      <c r="D18" s="7" t="s">
        <v>30</v>
      </c>
      <c r="E18" s="8">
        <v>45299</v>
      </c>
      <c r="F18" s="7">
        <v>199.99</v>
      </c>
      <c r="G18" s="7">
        <v>1</v>
      </c>
      <c r="H18" s="7">
        <f t="shared" si="0"/>
        <v>19.999000000000002</v>
      </c>
      <c r="I18" s="7">
        <f t="shared" si="1"/>
        <v>219.989</v>
      </c>
    </row>
    <row r="19" spans="2:9" x14ac:dyDescent="0.25">
      <c r="B19" s="7" t="s">
        <v>31</v>
      </c>
      <c r="C19" s="8">
        <v>45297</v>
      </c>
      <c r="D19" s="7" t="s">
        <v>32</v>
      </c>
      <c r="E19" s="8">
        <v>45298</v>
      </c>
      <c r="F19" s="7">
        <v>29.99</v>
      </c>
      <c r="G19" s="7">
        <v>5</v>
      </c>
      <c r="H19" s="7">
        <f t="shared" si="0"/>
        <v>14.994999999999999</v>
      </c>
      <c r="I19" s="7">
        <f t="shared" si="1"/>
        <v>164.94499999999999</v>
      </c>
    </row>
    <row r="20" spans="2:9" x14ac:dyDescent="0.25">
      <c r="B20" s="7" t="s">
        <v>33</v>
      </c>
      <c r="C20" s="8">
        <v>45297</v>
      </c>
      <c r="D20" s="7" t="s">
        <v>34</v>
      </c>
      <c r="E20" s="8">
        <v>45299</v>
      </c>
      <c r="F20" s="7">
        <v>79.989999999999995</v>
      </c>
      <c r="G20" s="7">
        <v>2</v>
      </c>
      <c r="H20" s="7">
        <f t="shared" si="0"/>
        <v>15.997999999999999</v>
      </c>
      <c r="I20" s="7">
        <f t="shared" si="1"/>
        <v>175.97799999999998</v>
      </c>
    </row>
    <row r="21" spans="2:9" x14ac:dyDescent="0.25">
      <c r="B21" s="7" t="s">
        <v>35</v>
      </c>
      <c r="C21" s="8">
        <v>45298</v>
      </c>
      <c r="D21" s="7" t="s">
        <v>36</v>
      </c>
      <c r="E21" s="8">
        <v>45300</v>
      </c>
      <c r="F21" s="7">
        <v>49.99</v>
      </c>
      <c r="G21" s="7">
        <v>3</v>
      </c>
      <c r="H21" s="7">
        <f t="shared" si="0"/>
        <v>14.997</v>
      </c>
      <c r="I21" s="7">
        <f t="shared" si="1"/>
        <v>164.96699999999998</v>
      </c>
    </row>
    <row r="22" spans="2:9" x14ac:dyDescent="0.25">
      <c r="B22" s="7" t="s">
        <v>37</v>
      </c>
      <c r="C22" s="8">
        <v>45298</v>
      </c>
      <c r="D22" s="7" t="s">
        <v>38</v>
      </c>
      <c r="E22" s="8">
        <v>45303</v>
      </c>
      <c r="F22" s="7">
        <v>129.99</v>
      </c>
      <c r="G22" s="7">
        <v>1</v>
      </c>
      <c r="H22" s="7">
        <f t="shared" si="0"/>
        <v>12.999000000000002</v>
      </c>
      <c r="I22" s="7">
        <f t="shared" si="1"/>
        <v>142.989</v>
      </c>
    </row>
    <row r="23" spans="2:9" x14ac:dyDescent="0.25">
      <c r="B23" s="7" t="s">
        <v>39</v>
      </c>
      <c r="C23" s="8">
        <v>45299</v>
      </c>
      <c r="D23" s="7" t="s">
        <v>40</v>
      </c>
      <c r="E23" s="8">
        <v>45304</v>
      </c>
      <c r="F23" s="7">
        <v>19.989999999999998</v>
      </c>
      <c r="G23" s="7">
        <v>4</v>
      </c>
      <c r="H23" s="7">
        <f t="shared" si="0"/>
        <v>7.9959999999999996</v>
      </c>
      <c r="I23" s="7">
        <f t="shared" si="1"/>
        <v>87.955999999999989</v>
      </c>
    </row>
    <row r="24" spans="2:9" x14ac:dyDescent="0.25">
      <c r="B24" s="7" t="s">
        <v>41</v>
      </c>
      <c r="C24" s="8">
        <v>45299</v>
      </c>
      <c r="D24" s="7" t="s">
        <v>42</v>
      </c>
      <c r="E24" s="8">
        <v>45303</v>
      </c>
      <c r="F24" s="7">
        <v>149.99</v>
      </c>
      <c r="G24" s="7">
        <v>1</v>
      </c>
      <c r="H24" s="7">
        <f t="shared" si="0"/>
        <v>14.999000000000002</v>
      </c>
      <c r="I24" s="7">
        <f t="shared" si="1"/>
        <v>164.989</v>
      </c>
    </row>
    <row r="25" spans="2:9" x14ac:dyDescent="0.25">
      <c r="B25" s="7" t="s">
        <v>43</v>
      </c>
      <c r="C25" s="8">
        <v>45300</v>
      </c>
      <c r="D25" s="7" t="s">
        <v>44</v>
      </c>
      <c r="E25" s="8">
        <v>45305</v>
      </c>
      <c r="F25" s="7">
        <v>69.989999999999995</v>
      </c>
      <c r="G25" s="7">
        <v>2</v>
      </c>
      <c r="H25" s="7">
        <f t="shared" si="0"/>
        <v>13.997999999999999</v>
      </c>
      <c r="I25" s="7">
        <f t="shared" si="1"/>
        <v>153.97799999999998</v>
      </c>
    </row>
    <row r="26" spans="2:9" x14ac:dyDescent="0.25">
      <c r="B26" s="7" t="s">
        <v>45</v>
      </c>
      <c r="C26" s="8">
        <v>45300</v>
      </c>
      <c r="D26" s="7" t="s">
        <v>46</v>
      </c>
      <c r="E26" s="8">
        <v>45303</v>
      </c>
      <c r="F26" s="7">
        <v>39.99</v>
      </c>
      <c r="G26" s="7">
        <v>3</v>
      </c>
      <c r="H26" s="7">
        <f t="shared" si="0"/>
        <v>11.997</v>
      </c>
      <c r="I26" s="7">
        <f t="shared" si="1"/>
        <v>131.96699999999998</v>
      </c>
    </row>
    <row r="27" spans="2:9" x14ac:dyDescent="0.25">
      <c r="B27" s="7" t="s">
        <v>47</v>
      </c>
      <c r="C27" s="8">
        <v>45301</v>
      </c>
      <c r="D27" s="7" t="s">
        <v>48</v>
      </c>
      <c r="E27" s="8">
        <v>45302</v>
      </c>
      <c r="F27" s="7">
        <v>199.99</v>
      </c>
      <c r="G27" s="7">
        <v>1</v>
      </c>
      <c r="H27" s="7">
        <f t="shared" si="0"/>
        <v>19.999000000000002</v>
      </c>
      <c r="I27" s="7">
        <f t="shared" si="1"/>
        <v>219.989</v>
      </c>
    </row>
    <row r="28" spans="2:9" x14ac:dyDescent="0.25">
      <c r="B28" s="7" t="s">
        <v>49</v>
      </c>
      <c r="C28" s="8">
        <v>45301</v>
      </c>
      <c r="D28" s="7" t="s">
        <v>50</v>
      </c>
      <c r="E28" s="8">
        <v>45305</v>
      </c>
      <c r="F28" s="7">
        <v>29.99</v>
      </c>
      <c r="G28" s="7">
        <v>5</v>
      </c>
      <c r="H28" s="7">
        <f t="shared" si="0"/>
        <v>14.994999999999999</v>
      </c>
      <c r="I28" s="7">
        <f t="shared" si="1"/>
        <v>164.94499999999999</v>
      </c>
    </row>
    <row r="29" spans="2:9" x14ac:dyDescent="0.25">
      <c r="B29" s="7" t="s">
        <v>51</v>
      </c>
      <c r="C29" s="8">
        <v>45302</v>
      </c>
      <c r="D29" s="7" t="s">
        <v>52</v>
      </c>
      <c r="E29" s="8">
        <v>45305</v>
      </c>
      <c r="F29" s="7">
        <v>79.989999999999995</v>
      </c>
      <c r="G29" s="7">
        <v>2</v>
      </c>
      <c r="H29" s="7">
        <f t="shared" si="0"/>
        <v>15.997999999999999</v>
      </c>
      <c r="I29" s="7">
        <f t="shared" si="1"/>
        <v>175.97799999999998</v>
      </c>
    </row>
    <row r="30" spans="2:9" x14ac:dyDescent="0.25">
      <c r="B30" s="7" t="s">
        <v>53</v>
      </c>
      <c r="C30" s="8">
        <v>45302</v>
      </c>
      <c r="D30" s="7" t="s">
        <v>54</v>
      </c>
      <c r="E30" s="8">
        <v>45306</v>
      </c>
      <c r="F30" s="7">
        <v>49.99</v>
      </c>
      <c r="G30" s="7">
        <v>3</v>
      </c>
      <c r="H30" s="7">
        <f t="shared" si="0"/>
        <v>14.997</v>
      </c>
      <c r="I30" s="7">
        <f t="shared" si="1"/>
        <v>164.96699999999998</v>
      </c>
    </row>
    <row r="31" spans="2:9" x14ac:dyDescent="0.25">
      <c r="B31" s="7" t="s">
        <v>55</v>
      </c>
      <c r="C31" s="8">
        <v>45303</v>
      </c>
      <c r="D31" s="7" t="s">
        <v>56</v>
      </c>
      <c r="E31" s="8">
        <v>45308</v>
      </c>
      <c r="F31" s="7">
        <v>129.99</v>
      </c>
      <c r="G31" s="7">
        <v>1</v>
      </c>
      <c r="H31" s="7">
        <f t="shared" si="0"/>
        <v>12.999000000000002</v>
      </c>
      <c r="I31" s="7">
        <f t="shared" si="1"/>
        <v>142.989</v>
      </c>
    </row>
    <row r="32" spans="2:9" x14ac:dyDescent="0.25">
      <c r="B32" s="7" t="s">
        <v>57</v>
      </c>
      <c r="C32" s="8">
        <v>45303</v>
      </c>
      <c r="D32" s="7" t="s">
        <v>58</v>
      </c>
      <c r="E32" s="8">
        <v>45308</v>
      </c>
      <c r="F32" s="7">
        <v>19.989999999999998</v>
      </c>
      <c r="G32" s="7">
        <v>4</v>
      </c>
      <c r="H32" s="7">
        <f t="shared" si="0"/>
        <v>7.9959999999999996</v>
      </c>
      <c r="I32" s="7">
        <f t="shared" si="1"/>
        <v>87.955999999999989</v>
      </c>
    </row>
    <row r="33" spans="2:9" x14ac:dyDescent="0.25">
      <c r="B33" s="7" t="s">
        <v>59</v>
      </c>
      <c r="C33" s="8">
        <v>45304</v>
      </c>
      <c r="D33" s="7" t="s">
        <v>20</v>
      </c>
      <c r="E33" s="8">
        <v>45308</v>
      </c>
      <c r="F33" s="7">
        <v>149.99</v>
      </c>
      <c r="G33" s="7">
        <v>1</v>
      </c>
      <c r="H33" s="7">
        <f t="shared" si="0"/>
        <v>14.999000000000002</v>
      </c>
      <c r="I33" s="7">
        <f t="shared" si="1"/>
        <v>164.989</v>
      </c>
    </row>
    <row r="34" spans="2:9" x14ac:dyDescent="0.25">
      <c r="B34" s="7" t="s">
        <v>60</v>
      </c>
      <c r="C34" s="8">
        <v>45304</v>
      </c>
      <c r="D34" s="7" t="s">
        <v>61</v>
      </c>
      <c r="E34" s="8">
        <v>45305</v>
      </c>
      <c r="F34" s="7">
        <v>69.989999999999995</v>
      </c>
      <c r="G34" s="7">
        <v>2</v>
      </c>
      <c r="H34" s="7">
        <f t="shared" si="0"/>
        <v>13.997999999999999</v>
      </c>
      <c r="I34" s="7">
        <f t="shared" si="1"/>
        <v>153.97799999999998</v>
      </c>
    </row>
    <row r="35" spans="2:9" x14ac:dyDescent="0.25">
      <c r="B35" s="7" t="s">
        <v>62</v>
      </c>
      <c r="C35" s="8">
        <v>45305</v>
      </c>
      <c r="D35" s="7" t="s">
        <v>63</v>
      </c>
      <c r="E35" s="8">
        <v>45309</v>
      </c>
      <c r="F35" s="7">
        <v>39.99</v>
      </c>
      <c r="G35" s="7">
        <v>3</v>
      </c>
      <c r="H35" s="7">
        <f t="shared" si="0"/>
        <v>11.997</v>
      </c>
      <c r="I35" s="7">
        <f t="shared" si="1"/>
        <v>131.96699999999998</v>
      </c>
    </row>
    <row r="36" spans="2:9" x14ac:dyDescent="0.25">
      <c r="B36" s="7" t="s">
        <v>64</v>
      </c>
      <c r="C36" s="8">
        <v>45305</v>
      </c>
      <c r="D36" s="7" t="s">
        <v>65</v>
      </c>
      <c r="E36" s="8">
        <v>45310</v>
      </c>
      <c r="F36" s="7">
        <v>199.99</v>
      </c>
      <c r="G36" s="7">
        <v>1</v>
      </c>
      <c r="H36" s="7">
        <f t="shared" si="0"/>
        <v>19.999000000000002</v>
      </c>
      <c r="I36" s="7">
        <f t="shared" si="1"/>
        <v>219.989</v>
      </c>
    </row>
    <row r="37" spans="2:9" x14ac:dyDescent="0.25">
      <c r="B37" s="7" t="s">
        <v>66</v>
      </c>
      <c r="C37" s="8">
        <v>45306</v>
      </c>
      <c r="D37" s="7" t="s">
        <v>67</v>
      </c>
      <c r="E37" s="8">
        <v>45310</v>
      </c>
      <c r="F37" s="7">
        <v>29.99</v>
      </c>
      <c r="G37" s="7">
        <v>5</v>
      </c>
      <c r="H37" s="7">
        <f t="shared" si="0"/>
        <v>14.994999999999999</v>
      </c>
      <c r="I37" s="7">
        <f t="shared" si="1"/>
        <v>164.94499999999999</v>
      </c>
    </row>
    <row r="38" spans="2:9" x14ac:dyDescent="0.25">
      <c r="B38" s="7" t="s">
        <v>68</v>
      </c>
      <c r="C38" s="8">
        <v>45306</v>
      </c>
      <c r="D38" s="7" t="s">
        <v>69</v>
      </c>
      <c r="E38" s="8">
        <v>45310</v>
      </c>
      <c r="F38" s="7">
        <v>79.989999999999995</v>
      </c>
      <c r="G38" s="7">
        <v>2</v>
      </c>
      <c r="H38" s="7">
        <f t="shared" si="0"/>
        <v>15.997999999999999</v>
      </c>
      <c r="I38" s="7">
        <f t="shared" si="1"/>
        <v>175.97799999999998</v>
      </c>
    </row>
    <row r="39" spans="2:9" x14ac:dyDescent="0.25">
      <c r="B39" s="7" t="s">
        <v>70</v>
      </c>
      <c r="C39" s="8">
        <v>45307</v>
      </c>
      <c r="D39" s="7" t="s">
        <v>71</v>
      </c>
      <c r="E39" s="8">
        <v>45310</v>
      </c>
      <c r="F39" s="7">
        <v>49.99</v>
      </c>
      <c r="G39" s="7">
        <v>3</v>
      </c>
      <c r="H39" s="7">
        <f t="shared" si="0"/>
        <v>14.997</v>
      </c>
      <c r="I39" s="7">
        <f t="shared" si="1"/>
        <v>164.96699999999998</v>
      </c>
    </row>
    <row r="40" spans="2:9" x14ac:dyDescent="0.25">
      <c r="B40" s="7" t="s">
        <v>72</v>
      </c>
      <c r="C40" s="8">
        <v>45307</v>
      </c>
      <c r="D40" s="7" t="s">
        <v>73</v>
      </c>
      <c r="E40" s="8">
        <v>45308</v>
      </c>
      <c r="F40" s="7">
        <v>129.99</v>
      </c>
      <c r="G40" s="7">
        <v>1</v>
      </c>
      <c r="H40" s="7">
        <f t="shared" si="0"/>
        <v>12.999000000000002</v>
      </c>
      <c r="I40" s="7">
        <f t="shared" si="1"/>
        <v>142.989</v>
      </c>
    </row>
    <row r="41" spans="2:9" x14ac:dyDescent="0.25">
      <c r="B41" s="7" t="s">
        <v>74</v>
      </c>
      <c r="C41" s="8">
        <v>45308</v>
      </c>
      <c r="D41" s="7" t="s">
        <v>75</v>
      </c>
      <c r="E41" s="8">
        <v>45310</v>
      </c>
      <c r="F41" s="7">
        <v>19.989999999999998</v>
      </c>
      <c r="G41" s="7">
        <v>4</v>
      </c>
      <c r="H41" s="7">
        <f t="shared" si="0"/>
        <v>7.9959999999999996</v>
      </c>
      <c r="I41" s="7">
        <f t="shared" si="1"/>
        <v>87.955999999999989</v>
      </c>
    </row>
    <row r="42" spans="2:9" x14ac:dyDescent="0.25">
      <c r="B42" s="7" t="s">
        <v>76</v>
      </c>
      <c r="C42" s="8">
        <v>45308</v>
      </c>
      <c r="D42" s="7" t="s">
        <v>77</v>
      </c>
      <c r="E42" s="8">
        <v>45310</v>
      </c>
      <c r="F42" s="7">
        <v>149.99</v>
      </c>
      <c r="G42" s="7">
        <v>1</v>
      </c>
      <c r="H42" s="7">
        <f t="shared" si="0"/>
        <v>14.999000000000002</v>
      </c>
      <c r="I42" s="7">
        <f t="shared" si="1"/>
        <v>164.989</v>
      </c>
    </row>
    <row r="43" spans="2:9" x14ac:dyDescent="0.25">
      <c r="B43" s="7" t="s">
        <v>78</v>
      </c>
      <c r="C43" s="8">
        <v>45309</v>
      </c>
      <c r="D43" s="7" t="s">
        <v>79</v>
      </c>
      <c r="E43" s="8">
        <v>45314</v>
      </c>
      <c r="F43" s="7">
        <v>69.989999999999995</v>
      </c>
      <c r="G43" s="7">
        <v>2</v>
      </c>
      <c r="H43" s="7">
        <f t="shared" si="0"/>
        <v>13.997999999999999</v>
      </c>
      <c r="I43" s="7">
        <f t="shared" si="1"/>
        <v>153.97799999999998</v>
      </c>
    </row>
    <row r="44" spans="2:9" x14ac:dyDescent="0.25">
      <c r="B44" s="7" t="s">
        <v>80</v>
      </c>
      <c r="C44" s="8">
        <v>45309</v>
      </c>
      <c r="D44" s="7" t="s">
        <v>81</v>
      </c>
      <c r="E44" s="8">
        <v>45310</v>
      </c>
      <c r="F44" s="7">
        <v>39.99</v>
      </c>
      <c r="G44" s="7">
        <v>3</v>
      </c>
      <c r="H44" s="7">
        <f t="shared" si="0"/>
        <v>11.997</v>
      </c>
      <c r="I44" s="7">
        <f t="shared" si="1"/>
        <v>131.96699999999998</v>
      </c>
    </row>
    <row r="45" spans="2:9" x14ac:dyDescent="0.25">
      <c r="B45" s="7" t="s">
        <v>82</v>
      </c>
      <c r="C45" s="8">
        <v>45310</v>
      </c>
      <c r="D45" s="7" t="s">
        <v>83</v>
      </c>
      <c r="E45" s="8">
        <v>45311</v>
      </c>
      <c r="F45" s="7">
        <v>199.99</v>
      </c>
      <c r="G45" s="7">
        <v>1</v>
      </c>
      <c r="H45" s="7">
        <f t="shared" si="0"/>
        <v>19.999000000000002</v>
      </c>
      <c r="I45" s="7">
        <f t="shared" si="1"/>
        <v>219.989</v>
      </c>
    </row>
    <row r="46" spans="2:9" x14ac:dyDescent="0.25">
      <c r="B46" s="7" t="s">
        <v>84</v>
      </c>
      <c r="C46" s="8">
        <v>45310</v>
      </c>
      <c r="D46" s="7" t="s">
        <v>85</v>
      </c>
      <c r="E46" s="8">
        <v>45313</v>
      </c>
      <c r="F46" s="7">
        <v>29.99</v>
      </c>
      <c r="G46" s="7">
        <v>5</v>
      </c>
      <c r="H46" s="7">
        <f t="shared" si="0"/>
        <v>14.994999999999999</v>
      </c>
      <c r="I46" s="7">
        <f t="shared" si="1"/>
        <v>164.94499999999999</v>
      </c>
    </row>
    <row r="47" spans="2:9" x14ac:dyDescent="0.25">
      <c r="B47" s="7" t="s">
        <v>86</v>
      </c>
      <c r="C47" s="8">
        <v>45311</v>
      </c>
      <c r="D47" s="7" t="s">
        <v>16</v>
      </c>
      <c r="E47" s="8">
        <v>45315</v>
      </c>
      <c r="F47" s="7">
        <v>79.989999999999995</v>
      </c>
      <c r="G47" s="7">
        <v>2</v>
      </c>
      <c r="H47" s="7">
        <f t="shared" si="0"/>
        <v>15.997999999999999</v>
      </c>
      <c r="I47" s="7">
        <f t="shared" si="1"/>
        <v>175.97799999999998</v>
      </c>
    </row>
    <row r="48" spans="2:9" x14ac:dyDescent="0.25">
      <c r="B48" s="7" t="s">
        <v>87</v>
      </c>
      <c r="C48" s="8">
        <v>45311</v>
      </c>
      <c r="D48" s="7" t="s">
        <v>58</v>
      </c>
      <c r="E48" s="8">
        <v>45312</v>
      </c>
      <c r="F48" s="7">
        <v>49.99</v>
      </c>
      <c r="G48" s="7">
        <v>3</v>
      </c>
      <c r="H48" s="7">
        <f t="shared" si="0"/>
        <v>14.997</v>
      </c>
      <c r="I48" s="7">
        <f t="shared" si="1"/>
        <v>164.96699999999998</v>
      </c>
    </row>
    <row r="49" spans="2:9" x14ac:dyDescent="0.25">
      <c r="B49" s="7" t="s">
        <v>88</v>
      </c>
      <c r="C49" s="8">
        <v>45312</v>
      </c>
      <c r="D49" s="7" t="s">
        <v>20</v>
      </c>
      <c r="E49" s="8">
        <v>45317</v>
      </c>
      <c r="F49" s="7">
        <v>129.99</v>
      </c>
      <c r="G49" s="7">
        <v>1</v>
      </c>
      <c r="H49" s="7">
        <f t="shared" si="0"/>
        <v>12.999000000000002</v>
      </c>
      <c r="I49" s="7">
        <f t="shared" si="1"/>
        <v>142.989</v>
      </c>
    </row>
    <row r="50" spans="2:9" x14ac:dyDescent="0.25">
      <c r="B50" s="7" t="s">
        <v>89</v>
      </c>
      <c r="C50" s="8">
        <v>45312</v>
      </c>
      <c r="D50" s="7" t="s">
        <v>90</v>
      </c>
      <c r="E50" s="8">
        <v>45314</v>
      </c>
      <c r="F50" s="7">
        <v>19.989999999999998</v>
      </c>
      <c r="G50" s="7">
        <v>4</v>
      </c>
      <c r="H50" s="7">
        <f t="shared" si="0"/>
        <v>7.9959999999999996</v>
      </c>
      <c r="I50" s="7">
        <f t="shared" si="1"/>
        <v>87.955999999999989</v>
      </c>
    </row>
    <row r="51" spans="2:9" x14ac:dyDescent="0.25">
      <c r="B51" s="7" t="s">
        <v>91</v>
      </c>
      <c r="C51" s="8">
        <v>45313</v>
      </c>
      <c r="D51" s="7" t="s">
        <v>92</v>
      </c>
      <c r="E51" s="8">
        <v>45316</v>
      </c>
      <c r="F51" s="7">
        <v>149.99</v>
      </c>
      <c r="G51" s="7">
        <v>1</v>
      </c>
      <c r="H51" s="7">
        <f t="shared" si="0"/>
        <v>14.999000000000002</v>
      </c>
      <c r="I51" s="7">
        <f t="shared" si="1"/>
        <v>164.989</v>
      </c>
    </row>
    <row r="52" spans="2:9" x14ac:dyDescent="0.25">
      <c r="B52" s="7" t="s">
        <v>93</v>
      </c>
      <c r="C52" s="8">
        <v>45313</v>
      </c>
      <c r="D52" s="7" t="s">
        <v>18</v>
      </c>
      <c r="E52" s="8">
        <v>45316</v>
      </c>
      <c r="F52" s="7">
        <v>69.989999999999995</v>
      </c>
      <c r="G52" s="7">
        <v>2</v>
      </c>
      <c r="H52" s="7">
        <f t="shared" si="0"/>
        <v>13.997999999999999</v>
      </c>
      <c r="I52" s="7">
        <f t="shared" si="1"/>
        <v>153.97799999999998</v>
      </c>
    </row>
    <row r="53" spans="2:9" x14ac:dyDescent="0.25">
      <c r="B53" s="7" t="s">
        <v>94</v>
      </c>
      <c r="C53" s="8">
        <v>45314</v>
      </c>
      <c r="D53" s="7" t="s">
        <v>95</v>
      </c>
      <c r="E53" s="8">
        <v>45318</v>
      </c>
      <c r="F53" s="7">
        <v>39.99</v>
      </c>
      <c r="G53" s="7">
        <v>3</v>
      </c>
      <c r="H53" s="7">
        <f t="shared" si="0"/>
        <v>11.997</v>
      </c>
      <c r="I53" s="7">
        <f t="shared" si="1"/>
        <v>131.96699999999998</v>
      </c>
    </row>
    <row r="54" spans="2:9" x14ac:dyDescent="0.25">
      <c r="B54" s="7" t="s">
        <v>96</v>
      </c>
      <c r="C54" s="8">
        <v>45314</v>
      </c>
      <c r="D54" s="7" t="s">
        <v>50</v>
      </c>
      <c r="E54" s="8">
        <v>45317</v>
      </c>
      <c r="F54" s="7">
        <v>199.99</v>
      </c>
      <c r="G54" s="7">
        <v>1</v>
      </c>
      <c r="H54" s="7">
        <f t="shared" si="0"/>
        <v>19.999000000000002</v>
      </c>
      <c r="I54" s="7">
        <f t="shared" si="1"/>
        <v>219.989</v>
      </c>
    </row>
    <row r="55" spans="2:9" x14ac:dyDescent="0.25">
      <c r="B55" s="7" t="s">
        <v>97</v>
      </c>
      <c r="C55" s="8">
        <v>45315</v>
      </c>
      <c r="D55" s="7" t="s">
        <v>98</v>
      </c>
      <c r="E55" s="8">
        <v>45316</v>
      </c>
      <c r="F55" s="7">
        <v>29.99</v>
      </c>
      <c r="G55" s="7">
        <v>5</v>
      </c>
      <c r="H55" s="7">
        <f t="shared" si="0"/>
        <v>14.994999999999999</v>
      </c>
      <c r="I55" s="7">
        <f t="shared" si="1"/>
        <v>164.94499999999999</v>
      </c>
    </row>
    <row r="56" spans="2:9" x14ac:dyDescent="0.25">
      <c r="B56" s="7" t="s">
        <v>99</v>
      </c>
      <c r="C56" s="8">
        <v>45315</v>
      </c>
      <c r="D56" s="7" t="s">
        <v>100</v>
      </c>
      <c r="E56" s="8">
        <v>45317</v>
      </c>
      <c r="F56" s="7">
        <v>79.989999999999995</v>
      </c>
      <c r="G56" s="7">
        <v>2</v>
      </c>
      <c r="H56" s="7">
        <f t="shared" si="0"/>
        <v>15.997999999999999</v>
      </c>
      <c r="I56" s="7">
        <f t="shared" si="1"/>
        <v>175.97799999999998</v>
      </c>
    </row>
    <row r="57" spans="2:9" x14ac:dyDescent="0.25">
      <c r="B57" s="7" t="s">
        <v>101</v>
      </c>
      <c r="C57" s="8">
        <v>45316</v>
      </c>
      <c r="D57" s="7" t="s">
        <v>102</v>
      </c>
      <c r="E57" s="8">
        <v>45321</v>
      </c>
      <c r="F57" s="7">
        <v>49.99</v>
      </c>
      <c r="G57" s="7">
        <v>3</v>
      </c>
      <c r="H57" s="7">
        <f t="shared" si="0"/>
        <v>14.997</v>
      </c>
      <c r="I57" s="7">
        <f t="shared" si="1"/>
        <v>164.96699999999998</v>
      </c>
    </row>
    <row r="58" spans="2:9" x14ac:dyDescent="0.25">
      <c r="B58" s="7" t="s">
        <v>103</v>
      </c>
      <c r="C58" s="8">
        <v>45316</v>
      </c>
      <c r="D58" s="7" t="s">
        <v>104</v>
      </c>
      <c r="E58" s="8">
        <v>45318</v>
      </c>
      <c r="F58" s="7">
        <v>129.99</v>
      </c>
      <c r="G58" s="7">
        <v>1</v>
      </c>
      <c r="H58" s="7">
        <f t="shared" si="0"/>
        <v>12.999000000000002</v>
      </c>
      <c r="I58" s="7">
        <f t="shared" si="1"/>
        <v>142.989</v>
      </c>
    </row>
    <row r="59" spans="2:9" x14ac:dyDescent="0.25">
      <c r="B59" s="7" t="s">
        <v>105</v>
      </c>
      <c r="C59" s="8">
        <v>45317</v>
      </c>
      <c r="D59" s="7" t="s">
        <v>106</v>
      </c>
      <c r="E59" s="8">
        <v>45320</v>
      </c>
      <c r="F59" s="7">
        <v>19.989999999999998</v>
      </c>
      <c r="G59" s="7">
        <v>4</v>
      </c>
      <c r="H59" s="7">
        <f t="shared" si="0"/>
        <v>7.9959999999999996</v>
      </c>
      <c r="I59" s="7">
        <f t="shared" si="1"/>
        <v>87.955999999999989</v>
      </c>
    </row>
    <row r="60" spans="2:9" x14ac:dyDescent="0.25">
      <c r="B60" s="7" t="s">
        <v>107</v>
      </c>
      <c r="C60" s="8">
        <v>45317</v>
      </c>
      <c r="D60" s="7" t="s">
        <v>108</v>
      </c>
      <c r="E60" s="8">
        <v>45319</v>
      </c>
      <c r="F60" s="7">
        <v>149.99</v>
      </c>
      <c r="G60" s="7">
        <v>1</v>
      </c>
      <c r="H60" s="7">
        <f t="shared" si="0"/>
        <v>14.999000000000002</v>
      </c>
      <c r="I60" s="7">
        <f t="shared" si="1"/>
        <v>164.989</v>
      </c>
    </row>
    <row r="61" spans="2:9" x14ac:dyDescent="0.25">
      <c r="B61" s="7" t="s">
        <v>109</v>
      </c>
      <c r="C61" s="8">
        <v>45318</v>
      </c>
      <c r="D61" s="7" t="s">
        <v>110</v>
      </c>
      <c r="E61" s="8">
        <v>45322</v>
      </c>
      <c r="F61" s="7">
        <v>69.989999999999995</v>
      </c>
      <c r="G61" s="7">
        <v>2</v>
      </c>
      <c r="H61" s="7">
        <f t="shared" si="0"/>
        <v>13.997999999999999</v>
      </c>
      <c r="I61" s="7">
        <f t="shared" si="1"/>
        <v>153.97799999999998</v>
      </c>
    </row>
    <row r="62" spans="2:9" x14ac:dyDescent="0.25">
      <c r="B62" s="7" t="s">
        <v>111</v>
      </c>
      <c r="C62" s="8">
        <v>45318</v>
      </c>
      <c r="D62" s="7" t="s">
        <v>112</v>
      </c>
      <c r="E62" s="8">
        <v>45322</v>
      </c>
      <c r="F62" s="7">
        <v>39.99</v>
      </c>
      <c r="G62" s="7">
        <v>3</v>
      </c>
      <c r="H62" s="7">
        <f t="shared" si="0"/>
        <v>11.997</v>
      </c>
      <c r="I62" s="7">
        <f t="shared" si="1"/>
        <v>131.96699999999998</v>
      </c>
    </row>
    <row r="63" spans="2:9" x14ac:dyDescent="0.25">
      <c r="B63" s="7" t="s">
        <v>113</v>
      </c>
      <c r="C63" s="8">
        <v>45319</v>
      </c>
      <c r="D63" s="7" t="s">
        <v>114</v>
      </c>
      <c r="E63" s="8">
        <v>45320</v>
      </c>
      <c r="F63" s="7">
        <v>199.99</v>
      </c>
      <c r="G63" s="7">
        <v>1</v>
      </c>
      <c r="H63" s="7">
        <f t="shared" si="0"/>
        <v>19.999000000000002</v>
      </c>
      <c r="I63" s="7">
        <f t="shared" si="1"/>
        <v>219.989</v>
      </c>
    </row>
    <row r="64" spans="2:9" x14ac:dyDescent="0.25">
      <c r="B64" s="7" t="s">
        <v>115</v>
      </c>
      <c r="C64" s="8">
        <v>45319</v>
      </c>
      <c r="D64" s="7" t="s">
        <v>116</v>
      </c>
      <c r="E64" s="8">
        <v>45320</v>
      </c>
      <c r="F64" s="7">
        <v>29.99</v>
      </c>
      <c r="G64" s="7">
        <v>5</v>
      </c>
      <c r="H64" s="7">
        <f t="shared" si="0"/>
        <v>14.994999999999999</v>
      </c>
      <c r="I64" s="7">
        <f t="shared" si="1"/>
        <v>164.94499999999999</v>
      </c>
    </row>
    <row r="65" spans="2:9" x14ac:dyDescent="0.25">
      <c r="B65" s="7" t="s">
        <v>117</v>
      </c>
      <c r="C65" s="8">
        <v>45320</v>
      </c>
      <c r="D65" s="7" t="s">
        <v>118</v>
      </c>
      <c r="E65" s="8">
        <v>45321</v>
      </c>
      <c r="F65" s="7">
        <v>79.989999999999995</v>
      </c>
      <c r="G65" s="7">
        <v>2</v>
      </c>
      <c r="H65" s="7">
        <f t="shared" si="0"/>
        <v>15.997999999999999</v>
      </c>
      <c r="I65" s="7">
        <f t="shared" si="1"/>
        <v>175.97799999999998</v>
      </c>
    </row>
    <row r="66" spans="2:9" x14ac:dyDescent="0.25">
      <c r="B66" s="7" t="s">
        <v>119</v>
      </c>
      <c r="C66" s="8">
        <v>45320</v>
      </c>
      <c r="D66" s="7" t="s">
        <v>90</v>
      </c>
      <c r="E66" s="8">
        <v>45322</v>
      </c>
      <c r="F66" s="7">
        <v>49.99</v>
      </c>
      <c r="G66" s="7">
        <v>3</v>
      </c>
      <c r="H66" s="7">
        <f t="shared" si="0"/>
        <v>14.997</v>
      </c>
      <c r="I66" s="7">
        <f t="shared" si="1"/>
        <v>164.96699999999998</v>
      </c>
    </row>
    <row r="67" spans="2:9" x14ac:dyDescent="0.25">
      <c r="B67" s="7" t="s">
        <v>120</v>
      </c>
      <c r="C67" s="8">
        <v>45321</v>
      </c>
      <c r="D67" s="7" t="s">
        <v>92</v>
      </c>
      <c r="E67" s="8">
        <v>45322</v>
      </c>
      <c r="F67" s="7">
        <v>129.99</v>
      </c>
      <c r="G67" s="7">
        <v>1</v>
      </c>
      <c r="H67" s="7">
        <f t="shared" si="0"/>
        <v>12.999000000000002</v>
      </c>
      <c r="I67" s="7">
        <f t="shared" si="1"/>
        <v>142.989</v>
      </c>
    </row>
    <row r="68" spans="2:9" x14ac:dyDescent="0.25">
      <c r="B68" s="7" t="s">
        <v>121</v>
      </c>
      <c r="C68" s="8">
        <v>45321</v>
      </c>
      <c r="D68" s="7" t="s">
        <v>18</v>
      </c>
      <c r="E68" s="8">
        <v>45323</v>
      </c>
      <c r="F68" s="7">
        <v>19.989999999999998</v>
      </c>
      <c r="G68" s="7">
        <v>4</v>
      </c>
      <c r="H68" s="7">
        <f t="shared" si="0"/>
        <v>7.9959999999999996</v>
      </c>
      <c r="I68" s="7">
        <f t="shared" si="1"/>
        <v>87.955999999999989</v>
      </c>
    </row>
    <row r="69" spans="2:9" x14ac:dyDescent="0.25">
      <c r="B69" s="7" t="s">
        <v>122</v>
      </c>
      <c r="C69" s="8">
        <v>45322</v>
      </c>
      <c r="D69" s="7" t="s">
        <v>95</v>
      </c>
      <c r="E69" s="8">
        <v>45324</v>
      </c>
      <c r="F69" s="7">
        <v>149.99</v>
      </c>
      <c r="G69" s="7">
        <v>1</v>
      </c>
      <c r="H69" s="7">
        <f t="shared" si="0"/>
        <v>14.999000000000002</v>
      </c>
      <c r="I69" s="7">
        <f t="shared" si="1"/>
        <v>164.989</v>
      </c>
    </row>
    <row r="70" spans="2:9" x14ac:dyDescent="0.25">
      <c r="B70" s="7" t="s">
        <v>123</v>
      </c>
      <c r="C70" s="8">
        <v>45322</v>
      </c>
      <c r="D70" s="7" t="s">
        <v>50</v>
      </c>
      <c r="E70" s="8">
        <v>45326</v>
      </c>
      <c r="F70" s="7">
        <v>69.989999999999995</v>
      </c>
      <c r="G70" s="7">
        <v>2</v>
      </c>
      <c r="H70" s="7">
        <f t="shared" si="0"/>
        <v>13.997999999999999</v>
      </c>
      <c r="I70" s="7">
        <f t="shared" si="1"/>
        <v>153.97799999999998</v>
      </c>
    </row>
    <row r="71" spans="2:9" x14ac:dyDescent="0.25">
      <c r="B71" s="7" t="s">
        <v>124</v>
      </c>
      <c r="C71" s="8">
        <v>45323</v>
      </c>
      <c r="D71" s="7" t="s">
        <v>98</v>
      </c>
      <c r="E71" s="8">
        <v>45324</v>
      </c>
      <c r="F71" s="7">
        <v>39.99</v>
      </c>
      <c r="G71" s="7">
        <v>3</v>
      </c>
      <c r="H71" s="7">
        <f t="shared" si="0"/>
        <v>11.997</v>
      </c>
      <c r="I71" s="7">
        <f t="shared" si="1"/>
        <v>131.96699999999998</v>
      </c>
    </row>
    <row r="72" spans="2:9" x14ac:dyDescent="0.25">
      <c r="B72" s="7" t="s">
        <v>125</v>
      </c>
      <c r="C72" s="8">
        <v>45323</v>
      </c>
      <c r="D72" s="7" t="s">
        <v>100</v>
      </c>
      <c r="E72" s="8">
        <v>45327</v>
      </c>
      <c r="F72" s="7">
        <v>199.99</v>
      </c>
      <c r="G72" s="7">
        <v>1</v>
      </c>
      <c r="H72" s="7">
        <f t="shared" si="0"/>
        <v>19.999000000000002</v>
      </c>
      <c r="I72" s="7">
        <f t="shared" si="1"/>
        <v>219.989</v>
      </c>
    </row>
    <row r="73" spans="2:9" x14ac:dyDescent="0.25">
      <c r="B73" s="7" t="s">
        <v>126</v>
      </c>
      <c r="C73" s="8">
        <v>45323</v>
      </c>
      <c r="D73" s="7" t="s">
        <v>102</v>
      </c>
      <c r="E73" s="8">
        <v>45325</v>
      </c>
      <c r="F73" s="7">
        <v>29.99</v>
      </c>
      <c r="G73" s="7">
        <v>5</v>
      </c>
      <c r="H73" s="7">
        <f t="shared" si="0"/>
        <v>14.994999999999999</v>
      </c>
      <c r="I73" s="7">
        <f t="shared" si="1"/>
        <v>164.94499999999999</v>
      </c>
    </row>
    <row r="74" spans="2:9" x14ac:dyDescent="0.25">
      <c r="B74" s="7" t="s">
        <v>127</v>
      </c>
      <c r="C74" s="8">
        <v>45324</v>
      </c>
      <c r="D74" s="7" t="s">
        <v>104</v>
      </c>
      <c r="E74" s="8">
        <v>45328</v>
      </c>
      <c r="F74" s="7">
        <v>79.989999999999995</v>
      </c>
      <c r="G74" s="7">
        <v>2</v>
      </c>
      <c r="H74" s="7">
        <f t="shared" ref="H74:H78" si="2">F74*G74*$I$6</f>
        <v>15.997999999999999</v>
      </c>
      <c r="I74" s="7">
        <f t="shared" ref="I74:I78" si="3">F74*G74+H74</f>
        <v>175.97799999999998</v>
      </c>
    </row>
    <row r="75" spans="2:9" x14ac:dyDescent="0.25">
      <c r="B75" s="7" t="s">
        <v>128</v>
      </c>
      <c r="C75" s="8">
        <v>45325</v>
      </c>
      <c r="D75" s="7" t="s">
        <v>106</v>
      </c>
      <c r="E75" s="8">
        <v>45328</v>
      </c>
      <c r="F75" s="7">
        <v>49.99</v>
      </c>
      <c r="G75" s="7">
        <v>3</v>
      </c>
      <c r="H75" s="7">
        <f t="shared" si="2"/>
        <v>14.997</v>
      </c>
      <c r="I75" s="7">
        <f t="shared" si="3"/>
        <v>164.96699999999998</v>
      </c>
    </row>
    <row r="76" spans="2:9" x14ac:dyDescent="0.25">
      <c r="B76" s="7" t="s">
        <v>129</v>
      </c>
      <c r="C76" s="8">
        <v>45326</v>
      </c>
      <c r="D76" s="7" t="s">
        <v>108</v>
      </c>
      <c r="E76" s="8">
        <v>45327</v>
      </c>
      <c r="F76" s="7">
        <v>129.99</v>
      </c>
      <c r="G76" s="7">
        <v>1</v>
      </c>
      <c r="H76" s="7">
        <f t="shared" si="2"/>
        <v>12.999000000000002</v>
      </c>
      <c r="I76" s="7">
        <f t="shared" si="3"/>
        <v>142.989</v>
      </c>
    </row>
    <row r="77" spans="2:9" x14ac:dyDescent="0.25">
      <c r="B77" s="7" t="s">
        <v>130</v>
      </c>
      <c r="C77" s="8">
        <v>45326</v>
      </c>
      <c r="D77" s="7" t="s">
        <v>110</v>
      </c>
      <c r="E77" s="8">
        <v>45330</v>
      </c>
      <c r="F77" s="7">
        <v>19.989999999999998</v>
      </c>
      <c r="G77" s="7">
        <v>4</v>
      </c>
      <c r="H77" s="7">
        <f t="shared" si="2"/>
        <v>7.9959999999999996</v>
      </c>
      <c r="I77" s="7">
        <f t="shared" si="3"/>
        <v>87.955999999999989</v>
      </c>
    </row>
    <row r="78" spans="2:9" x14ac:dyDescent="0.25">
      <c r="B78" s="7" t="s">
        <v>131</v>
      </c>
      <c r="C78" s="8">
        <v>45326</v>
      </c>
      <c r="D78" s="7" t="s">
        <v>112</v>
      </c>
      <c r="E78" s="8">
        <v>45329</v>
      </c>
      <c r="F78" s="7">
        <v>149.99</v>
      </c>
      <c r="G78" s="7">
        <v>1</v>
      </c>
      <c r="H78" s="7">
        <f t="shared" si="2"/>
        <v>14.999000000000002</v>
      </c>
      <c r="I78" s="7">
        <f t="shared" si="3"/>
        <v>164.989</v>
      </c>
    </row>
    <row r="79" spans="2:9" x14ac:dyDescent="0.25">
      <c r="C79" s="9"/>
    </row>
    <row r="80" spans="2:9" x14ac:dyDescent="0.25">
      <c r="C80"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87711-0040-467D-BC82-BFE577D28D62}">
  <dimension ref="A1:J71"/>
  <sheetViews>
    <sheetView workbookViewId="0">
      <selection activeCell="M61" sqref="M61"/>
    </sheetView>
  </sheetViews>
  <sheetFormatPr defaultRowHeight="15" x14ac:dyDescent="0.25"/>
  <cols>
    <col min="1" max="1" width="10.140625" bestFit="1" customWidth="1"/>
    <col min="2" max="2" width="11.85546875" style="11" bestFit="1" customWidth="1"/>
    <col min="3" max="3" width="21" bestFit="1" customWidth="1"/>
    <col min="4" max="4" width="10.7109375" style="11" bestFit="1" customWidth="1"/>
    <col min="5" max="5" width="18.28515625" style="14" bestFit="1" customWidth="1"/>
    <col min="6" max="6" width="25" style="14" bestFit="1" customWidth="1"/>
    <col min="7" max="7" width="16.140625" bestFit="1" customWidth="1"/>
    <col min="8" max="8" width="14.85546875" bestFit="1" customWidth="1"/>
    <col min="9" max="9" width="20" bestFit="1" customWidth="1"/>
    <col min="10" max="10" width="12" bestFit="1" customWidth="1"/>
  </cols>
  <sheetData>
    <row r="1" spans="1:10" ht="15.75" x14ac:dyDescent="0.25">
      <c r="A1" s="4" t="s">
        <v>3</v>
      </c>
      <c r="B1" s="10" t="s">
        <v>4</v>
      </c>
      <c r="C1" s="4" t="s">
        <v>5</v>
      </c>
      <c r="D1" s="10" t="s">
        <v>6</v>
      </c>
      <c r="E1" s="12" t="s">
        <v>7</v>
      </c>
      <c r="F1" s="12" t="s">
        <v>132</v>
      </c>
      <c r="G1" s="4" t="s">
        <v>8</v>
      </c>
      <c r="H1" s="4" t="s">
        <v>133</v>
      </c>
      <c r="I1" s="6" t="s">
        <v>134</v>
      </c>
      <c r="J1" s="6" t="s">
        <v>10</v>
      </c>
    </row>
    <row r="2" spans="1:10" x14ac:dyDescent="0.25">
      <c r="A2" s="7" t="s">
        <v>11</v>
      </c>
      <c r="B2" s="8">
        <v>45292</v>
      </c>
      <c r="C2" s="7" t="s">
        <v>12</v>
      </c>
      <c r="D2" s="8">
        <v>45294</v>
      </c>
      <c r="E2" s="13">
        <v>50</v>
      </c>
      <c r="F2" s="13" t="str">
        <f>_xlfn.IFS(E2&lt;=50,"Low Price",E2&lt;=130,"Medium Price",E2&lt;=200,"High Price")</f>
        <v>Low Price</v>
      </c>
      <c r="G2" s="7">
        <v>2</v>
      </c>
      <c r="H2" s="7">
        <f>E2*10%</f>
        <v>5</v>
      </c>
      <c r="I2" s="7">
        <f>E2-H2</f>
        <v>45</v>
      </c>
      <c r="J2" s="7">
        <f>E2*G2+H2</f>
        <v>105</v>
      </c>
    </row>
    <row r="3" spans="1:10" x14ac:dyDescent="0.25">
      <c r="A3" s="7" t="s">
        <v>13</v>
      </c>
      <c r="B3" s="8">
        <v>45292</v>
      </c>
      <c r="C3" s="7" t="s">
        <v>14</v>
      </c>
      <c r="D3" s="8">
        <v>45295</v>
      </c>
      <c r="E3" s="13">
        <v>30</v>
      </c>
      <c r="F3" s="13" t="str">
        <f t="shared" ref="F3:F66" si="0">_xlfn.IFS(E3&lt;=50,"Low Price",E3&lt;=130,"Medium Price",E3&lt;=200,"High Price")</f>
        <v>Low Price</v>
      </c>
      <c r="G3" s="7">
        <v>1</v>
      </c>
      <c r="H3" s="7">
        <f t="shared" ref="H3:H66" si="1">E3*10%</f>
        <v>3</v>
      </c>
      <c r="I3" s="7">
        <f>E3-H3</f>
        <v>27</v>
      </c>
      <c r="J3" s="7">
        <f>E3*G3+H3</f>
        <v>33</v>
      </c>
    </row>
    <row r="4" spans="1:10" x14ac:dyDescent="0.25">
      <c r="A4" s="7" t="s">
        <v>15</v>
      </c>
      <c r="B4" s="8">
        <v>45293</v>
      </c>
      <c r="C4" s="7" t="s">
        <v>16</v>
      </c>
      <c r="D4" s="8">
        <v>45298</v>
      </c>
      <c r="E4" s="13">
        <v>100</v>
      </c>
      <c r="F4" s="13" t="str">
        <f t="shared" si="0"/>
        <v>Medium Price</v>
      </c>
      <c r="G4" s="7">
        <v>3</v>
      </c>
      <c r="H4" s="7">
        <f t="shared" si="1"/>
        <v>10</v>
      </c>
      <c r="I4" s="7">
        <f>E4-H4</f>
        <v>90</v>
      </c>
      <c r="J4" s="7">
        <f>E4*G4+H4</f>
        <v>310</v>
      </c>
    </row>
    <row r="5" spans="1:10" x14ac:dyDescent="0.25">
      <c r="A5" s="7" t="s">
        <v>17</v>
      </c>
      <c r="B5" s="8">
        <v>45293</v>
      </c>
      <c r="C5" s="7" t="s">
        <v>18</v>
      </c>
      <c r="D5" s="8">
        <v>45294</v>
      </c>
      <c r="E5" s="13">
        <v>20</v>
      </c>
      <c r="F5" s="13" t="str">
        <f t="shared" si="0"/>
        <v>Low Price</v>
      </c>
      <c r="G5" s="7">
        <v>4</v>
      </c>
      <c r="H5" s="7">
        <f t="shared" si="1"/>
        <v>2</v>
      </c>
      <c r="I5" s="7">
        <f>E5-H5</f>
        <v>18</v>
      </c>
      <c r="J5" s="7">
        <f>E5*G5+H5</f>
        <v>82</v>
      </c>
    </row>
    <row r="6" spans="1:10" x14ac:dyDescent="0.25">
      <c r="A6" s="7" t="s">
        <v>19</v>
      </c>
      <c r="B6" s="8">
        <v>45294</v>
      </c>
      <c r="C6" s="7" t="s">
        <v>20</v>
      </c>
      <c r="D6" s="8">
        <v>45299</v>
      </c>
      <c r="E6" s="13">
        <v>150</v>
      </c>
      <c r="F6" s="13" t="str">
        <f t="shared" si="0"/>
        <v>High Price</v>
      </c>
      <c r="G6" s="7">
        <v>1</v>
      </c>
      <c r="H6" s="7">
        <f t="shared" si="1"/>
        <v>15</v>
      </c>
      <c r="I6" s="7">
        <f>E6-H6</f>
        <v>135</v>
      </c>
      <c r="J6" s="7">
        <f>E6*G6+H6</f>
        <v>165</v>
      </c>
    </row>
    <row r="7" spans="1:10" x14ac:dyDescent="0.25">
      <c r="A7" s="7" t="s">
        <v>21</v>
      </c>
      <c r="B7" s="8">
        <v>45294</v>
      </c>
      <c r="C7" s="7" t="s">
        <v>22</v>
      </c>
      <c r="D7" s="8">
        <v>45297</v>
      </c>
      <c r="E7" s="13">
        <v>80</v>
      </c>
      <c r="F7" s="13" t="str">
        <f t="shared" si="0"/>
        <v>Medium Price</v>
      </c>
      <c r="G7" s="7">
        <v>2</v>
      </c>
      <c r="H7" s="7">
        <f t="shared" si="1"/>
        <v>8</v>
      </c>
      <c r="I7" s="7">
        <f>E7-H7</f>
        <v>72</v>
      </c>
      <c r="J7" s="7">
        <f>E7*G7+H7</f>
        <v>168</v>
      </c>
    </row>
    <row r="8" spans="1:10" x14ac:dyDescent="0.25">
      <c r="A8" s="7" t="s">
        <v>23</v>
      </c>
      <c r="B8" s="8">
        <v>45295</v>
      </c>
      <c r="C8" s="7" t="s">
        <v>24</v>
      </c>
      <c r="D8" s="8">
        <v>45297</v>
      </c>
      <c r="E8" s="13">
        <v>40</v>
      </c>
      <c r="F8" s="13" t="str">
        <f t="shared" si="0"/>
        <v>Low Price</v>
      </c>
      <c r="G8" s="7">
        <v>3</v>
      </c>
      <c r="H8" s="7">
        <f t="shared" si="1"/>
        <v>4</v>
      </c>
      <c r="I8" s="7">
        <f>E8-H8</f>
        <v>36</v>
      </c>
      <c r="J8" s="7">
        <f>E8*G8+H8</f>
        <v>124</v>
      </c>
    </row>
    <row r="9" spans="1:10" x14ac:dyDescent="0.25">
      <c r="A9" s="7" t="s">
        <v>25</v>
      </c>
      <c r="B9" s="8">
        <v>45295</v>
      </c>
      <c r="C9" s="7" t="s">
        <v>26</v>
      </c>
      <c r="D9" s="8">
        <v>45300</v>
      </c>
      <c r="E9" s="13">
        <v>70</v>
      </c>
      <c r="F9" s="13" t="str">
        <f t="shared" si="0"/>
        <v>Medium Price</v>
      </c>
      <c r="G9" s="7">
        <v>2</v>
      </c>
      <c r="H9" s="7">
        <f t="shared" si="1"/>
        <v>7</v>
      </c>
      <c r="I9" s="7">
        <f>E9-H9</f>
        <v>63</v>
      </c>
      <c r="J9" s="7">
        <f>E9*G9+H9</f>
        <v>147</v>
      </c>
    </row>
    <row r="10" spans="1:10" x14ac:dyDescent="0.25">
      <c r="A10" s="7" t="s">
        <v>27</v>
      </c>
      <c r="B10" s="8">
        <v>45296</v>
      </c>
      <c r="C10" s="7" t="s">
        <v>28</v>
      </c>
      <c r="D10" s="8">
        <v>45297</v>
      </c>
      <c r="E10" s="13">
        <v>90</v>
      </c>
      <c r="F10" s="13" t="str">
        <f t="shared" si="0"/>
        <v>Medium Price</v>
      </c>
      <c r="G10" s="7">
        <v>1</v>
      </c>
      <c r="H10" s="7">
        <f t="shared" si="1"/>
        <v>9</v>
      </c>
      <c r="I10" s="7">
        <f>E10-H10</f>
        <v>81</v>
      </c>
      <c r="J10" s="7">
        <f>E10*G10+H10</f>
        <v>99</v>
      </c>
    </row>
    <row r="11" spans="1:10" x14ac:dyDescent="0.25">
      <c r="A11" s="7" t="s">
        <v>29</v>
      </c>
      <c r="B11" s="8">
        <v>45296</v>
      </c>
      <c r="C11" s="7" t="s">
        <v>30</v>
      </c>
      <c r="D11" s="8">
        <v>45299</v>
      </c>
      <c r="E11" s="13">
        <v>200</v>
      </c>
      <c r="F11" s="13" t="str">
        <f t="shared" si="0"/>
        <v>High Price</v>
      </c>
      <c r="G11" s="7">
        <v>1</v>
      </c>
      <c r="H11" s="7">
        <f t="shared" si="1"/>
        <v>20</v>
      </c>
      <c r="I11" s="7">
        <f>E11-H11</f>
        <v>180</v>
      </c>
      <c r="J11" s="7">
        <f>E11*G11+H11</f>
        <v>220</v>
      </c>
    </row>
    <row r="12" spans="1:10" x14ac:dyDescent="0.25">
      <c r="A12" s="7" t="s">
        <v>31</v>
      </c>
      <c r="B12" s="8">
        <v>45297</v>
      </c>
      <c r="C12" s="7" t="s">
        <v>32</v>
      </c>
      <c r="D12" s="8">
        <v>45298</v>
      </c>
      <c r="E12" s="13">
        <v>30</v>
      </c>
      <c r="F12" s="13" t="str">
        <f t="shared" si="0"/>
        <v>Low Price</v>
      </c>
      <c r="G12" s="7">
        <v>5</v>
      </c>
      <c r="H12" s="7">
        <f t="shared" si="1"/>
        <v>3</v>
      </c>
      <c r="I12" s="7">
        <f>E12-H12</f>
        <v>27</v>
      </c>
      <c r="J12" s="7">
        <f>E12*G12+H12</f>
        <v>153</v>
      </c>
    </row>
    <row r="13" spans="1:10" x14ac:dyDescent="0.25">
      <c r="A13" s="7" t="s">
        <v>33</v>
      </c>
      <c r="B13" s="8">
        <v>45297</v>
      </c>
      <c r="C13" s="7" t="s">
        <v>34</v>
      </c>
      <c r="D13" s="8">
        <v>45299</v>
      </c>
      <c r="E13" s="13">
        <v>80</v>
      </c>
      <c r="F13" s="13" t="str">
        <f t="shared" si="0"/>
        <v>Medium Price</v>
      </c>
      <c r="G13" s="7">
        <v>2</v>
      </c>
      <c r="H13" s="7">
        <f t="shared" si="1"/>
        <v>8</v>
      </c>
      <c r="I13" s="7">
        <f>E13-H13</f>
        <v>72</v>
      </c>
      <c r="J13" s="7">
        <f>E13*G13+H13</f>
        <v>168</v>
      </c>
    </row>
    <row r="14" spans="1:10" x14ac:dyDescent="0.25">
      <c r="A14" s="7" t="s">
        <v>35</v>
      </c>
      <c r="B14" s="8">
        <v>45298</v>
      </c>
      <c r="C14" s="7" t="s">
        <v>36</v>
      </c>
      <c r="D14" s="8">
        <v>45300</v>
      </c>
      <c r="E14" s="13">
        <v>50</v>
      </c>
      <c r="F14" s="13" t="str">
        <f t="shared" si="0"/>
        <v>Low Price</v>
      </c>
      <c r="G14" s="7">
        <v>3</v>
      </c>
      <c r="H14" s="7">
        <f t="shared" si="1"/>
        <v>5</v>
      </c>
      <c r="I14" s="7">
        <f>E14-H14</f>
        <v>45</v>
      </c>
      <c r="J14" s="7">
        <f>E14*G14+H14</f>
        <v>155</v>
      </c>
    </row>
    <row r="15" spans="1:10" x14ac:dyDescent="0.25">
      <c r="A15" s="7" t="s">
        <v>37</v>
      </c>
      <c r="B15" s="8">
        <v>45298</v>
      </c>
      <c r="C15" s="7" t="s">
        <v>38</v>
      </c>
      <c r="D15" s="8">
        <v>45303</v>
      </c>
      <c r="E15" s="13">
        <v>130</v>
      </c>
      <c r="F15" s="13" t="str">
        <f t="shared" si="0"/>
        <v>Medium Price</v>
      </c>
      <c r="G15" s="7">
        <v>1</v>
      </c>
      <c r="H15" s="7">
        <f t="shared" si="1"/>
        <v>13</v>
      </c>
      <c r="I15" s="7">
        <f>E15-H15</f>
        <v>117</v>
      </c>
      <c r="J15" s="7">
        <f>E15*G15+H15</f>
        <v>143</v>
      </c>
    </row>
    <row r="16" spans="1:10" x14ac:dyDescent="0.25">
      <c r="A16" s="7" t="s">
        <v>39</v>
      </c>
      <c r="B16" s="8">
        <v>45299</v>
      </c>
      <c r="C16" s="7" t="s">
        <v>40</v>
      </c>
      <c r="D16" s="8">
        <v>45304</v>
      </c>
      <c r="E16" s="13">
        <v>20</v>
      </c>
      <c r="F16" s="13" t="str">
        <f t="shared" si="0"/>
        <v>Low Price</v>
      </c>
      <c r="G16" s="7">
        <v>4</v>
      </c>
      <c r="H16" s="7">
        <f t="shared" si="1"/>
        <v>2</v>
      </c>
      <c r="I16" s="7">
        <f>E16-H16</f>
        <v>18</v>
      </c>
      <c r="J16" s="7">
        <f>E16*G16+H16</f>
        <v>82</v>
      </c>
    </row>
    <row r="17" spans="1:10" x14ac:dyDescent="0.25">
      <c r="A17" s="7" t="s">
        <v>41</v>
      </c>
      <c r="B17" s="8">
        <v>45299</v>
      </c>
      <c r="C17" s="7" t="s">
        <v>42</v>
      </c>
      <c r="D17" s="8">
        <v>45303</v>
      </c>
      <c r="E17" s="13">
        <v>150</v>
      </c>
      <c r="F17" s="13" t="str">
        <f t="shared" si="0"/>
        <v>High Price</v>
      </c>
      <c r="G17" s="7">
        <v>1</v>
      </c>
      <c r="H17" s="7">
        <f t="shared" si="1"/>
        <v>15</v>
      </c>
      <c r="I17" s="7">
        <f>E17-H17</f>
        <v>135</v>
      </c>
      <c r="J17" s="7">
        <f>E17*G17+H17</f>
        <v>165</v>
      </c>
    </row>
    <row r="18" spans="1:10" x14ac:dyDescent="0.25">
      <c r="A18" s="7" t="s">
        <v>43</v>
      </c>
      <c r="B18" s="8">
        <v>45300</v>
      </c>
      <c r="C18" s="7" t="s">
        <v>44</v>
      </c>
      <c r="D18" s="8">
        <v>45305</v>
      </c>
      <c r="E18" s="13">
        <v>70</v>
      </c>
      <c r="F18" s="13" t="str">
        <f t="shared" si="0"/>
        <v>Medium Price</v>
      </c>
      <c r="G18" s="7">
        <v>2</v>
      </c>
      <c r="H18" s="7">
        <f t="shared" si="1"/>
        <v>7</v>
      </c>
      <c r="I18" s="7">
        <f>E18-H18</f>
        <v>63</v>
      </c>
      <c r="J18" s="7">
        <f>E18*G18+H18</f>
        <v>147</v>
      </c>
    </row>
    <row r="19" spans="1:10" x14ac:dyDescent="0.25">
      <c r="A19" s="7" t="s">
        <v>45</v>
      </c>
      <c r="B19" s="8">
        <v>45300</v>
      </c>
      <c r="C19" s="7" t="s">
        <v>46</v>
      </c>
      <c r="D19" s="8">
        <v>45303</v>
      </c>
      <c r="E19" s="13">
        <v>40</v>
      </c>
      <c r="F19" s="13" t="str">
        <f t="shared" si="0"/>
        <v>Low Price</v>
      </c>
      <c r="G19" s="7">
        <v>3</v>
      </c>
      <c r="H19" s="7">
        <f t="shared" si="1"/>
        <v>4</v>
      </c>
      <c r="I19" s="7">
        <f>E19-H19</f>
        <v>36</v>
      </c>
      <c r="J19" s="7">
        <f>E19*G19+H19</f>
        <v>124</v>
      </c>
    </row>
    <row r="20" spans="1:10" x14ac:dyDescent="0.25">
      <c r="A20" s="7" t="s">
        <v>47</v>
      </c>
      <c r="B20" s="8">
        <v>45301</v>
      </c>
      <c r="C20" s="7" t="s">
        <v>48</v>
      </c>
      <c r="D20" s="8">
        <v>45302</v>
      </c>
      <c r="E20" s="13">
        <v>200</v>
      </c>
      <c r="F20" s="13" t="str">
        <f t="shared" si="0"/>
        <v>High Price</v>
      </c>
      <c r="G20" s="7">
        <v>1</v>
      </c>
      <c r="H20" s="7">
        <f t="shared" si="1"/>
        <v>20</v>
      </c>
      <c r="I20" s="7">
        <f>E20-H20</f>
        <v>180</v>
      </c>
      <c r="J20" s="7">
        <f>E20*G20+H20</f>
        <v>220</v>
      </c>
    </row>
    <row r="21" spans="1:10" x14ac:dyDescent="0.25">
      <c r="A21" s="7" t="s">
        <v>49</v>
      </c>
      <c r="B21" s="8">
        <v>45301</v>
      </c>
      <c r="C21" s="7" t="s">
        <v>50</v>
      </c>
      <c r="D21" s="8">
        <v>45305</v>
      </c>
      <c r="E21" s="13">
        <v>30</v>
      </c>
      <c r="F21" s="13" t="str">
        <f t="shared" si="0"/>
        <v>Low Price</v>
      </c>
      <c r="G21" s="7">
        <v>5</v>
      </c>
      <c r="H21" s="7">
        <f t="shared" si="1"/>
        <v>3</v>
      </c>
      <c r="I21" s="7">
        <f>E21-H21</f>
        <v>27</v>
      </c>
      <c r="J21" s="7">
        <f>E21*G21+H21</f>
        <v>153</v>
      </c>
    </row>
    <row r="22" spans="1:10" x14ac:dyDescent="0.25">
      <c r="A22" s="7" t="s">
        <v>51</v>
      </c>
      <c r="B22" s="8">
        <v>45302</v>
      </c>
      <c r="C22" s="7" t="s">
        <v>52</v>
      </c>
      <c r="D22" s="8">
        <v>45305</v>
      </c>
      <c r="E22" s="13">
        <v>80</v>
      </c>
      <c r="F22" s="13" t="str">
        <f t="shared" si="0"/>
        <v>Medium Price</v>
      </c>
      <c r="G22" s="7">
        <v>2</v>
      </c>
      <c r="H22" s="7">
        <f t="shared" si="1"/>
        <v>8</v>
      </c>
      <c r="I22" s="7">
        <f>E22-H22</f>
        <v>72</v>
      </c>
      <c r="J22" s="7">
        <f>E22*G22+H22</f>
        <v>168</v>
      </c>
    </row>
    <row r="23" spans="1:10" x14ac:dyDescent="0.25">
      <c r="A23" s="7" t="s">
        <v>53</v>
      </c>
      <c r="B23" s="8">
        <v>45302</v>
      </c>
      <c r="C23" s="7" t="s">
        <v>54</v>
      </c>
      <c r="D23" s="8">
        <v>45306</v>
      </c>
      <c r="E23" s="13">
        <v>50</v>
      </c>
      <c r="F23" s="13" t="str">
        <f t="shared" si="0"/>
        <v>Low Price</v>
      </c>
      <c r="G23" s="7">
        <v>3</v>
      </c>
      <c r="H23" s="7">
        <f t="shared" si="1"/>
        <v>5</v>
      </c>
      <c r="I23" s="7">
        <f>E23-H23</f>
        <v>45</v>
      </c>
      <c r="J23" s="7">
        <f>E23*G23+H23</f>
        <v>155</v>
      </c>
    </row>
    <row r="24" spans="1:10" x14ac:dyDescent="0.25">
      <c r="A24" s="7" t="s">
        <v>55</v>
      </c>
      <c r="B24" s="8">
        <v>45303</v>
      </c>
      <c r="C24" s="7" t="s">
        <v>56</v>
      </c>
      <c r="D24" s="8">
        <v>45308</v>
      </c>
      <c r="E24" s="13">
        <v>130</v>
      </c>
      <c r="F24" s="13" t="str">
        <f t="shared" si="0"/>
        <v>Medium Price</v>
      </c>
      <c r="G24" s="7">
        <v>1</v>
      </c>
      <c r="H24" s="7">
        <f t="shared" si="1"/>
        <v>13</v>
      </c>
      <c r="I24" s="7">
        <f>E24-H24</f>
        <v>117</v>
      </c>
      <c r="J24" s="7">
        <f>E24*G24+H24</f>
        <v>143</v>
      </c>
    </row>
    <row r="25" spans="1:10" x14ac:dyDescent="0.25">
      <c r="A25" s="7" t="s">
        <v>57</v>
      </c>
      <c r="B25" s="8">
        <v>45303</v>
      </c>
      <c r="C25" s="7" t="s">
        <v>58</v>
      </c>
      <c r="D25" s="8">
        <v>45308</v>
      </c>
      <c r="E25" s="13">
        <v>20</v>
      </c>
      <c r="F25" s="13" t="str">
        <f t="shared" si="0"/>
        <v>Low Price</v>
      </c>
      <c r="G25" s="7">
        <v>4</v>
      </c>
      <c r="H25" s="7">
        <f t="shared" si="1"/>
        <v>2</v>
      </c>
      <c r="I25" s="7">
        <f>E25-H25</f>
        <v>18</v>
      </c>
      <c r="J25" s="7">
        <f>E25*G25+H25</f>
        <v>82</v>
      </c>
    </row>
    <row r="26" spans="1:10" x14ac:dyDescent="0.25">
      <c r="A26" s="7" t="s">
        <v>59</v>
      </c>
      <c r="B26" s="8">
        <v>45304</v>
      </c>
      <c r="C26" s="7" t="s">
        <v>20</v>
      </c>
      <c r="D26" s="8">
        <v>45308</v>
      </c>
      <c r="E26" s="13">
        <v>150</v>
      </c>
      <c r="F26" s="13" t="str">
        <f t="shared" si="0"/>
        <v>High Price</v>
      </c>
      <c r="G26" s="7">
        <v>1</v>
      </c>
      <c r="H26" s="7">
        <f t="shared" si="1"/>
        <v>15</v>
      </c>
      <c r="I26" s="7">
        <f>E26-H26</f>
        <v>135</v>
      </c>
      <c r="J26" s="7">
        <f>E26*G26+H26</f>
        <v>165</v>
      </c>
    </row>
    <row r="27" spans="1:10" x14ac:dyDescent="0.25">
      <c r="A27" s="7" t="s">
        <v>60</v>
      </c>
      <c r="B27" s="8">
        <v>45304</v>
      </c>
      <c r="C27" s="7" t="s">
        <v>61</v>
      </c>
      <c r="D27" s="8">
        <v>45305</v>
      </c>
      <c r="E27" s="13">
        <v>70</v>
      </c>
      <c r="F27" s="13" t="str">
        <f t="shared" si="0"/>
        <v>Medium Price</v>
      </c>
      <c r="G27" s="7">
        <v>2</v>
      </c>
      <c r="H27" s="7">
        <f t="shared" si="1"/>
        <v>7</v>
      </c>
      <c r="I27" s="7">
        <f>E27-H27</f>
        <v>63</v>
      </c>
      <c r="J27" s="7">
        <f>E27*G27+H27</f>
        <v>147</v>
      </c>
    </row>
    <row r="28" spans="1:10" x14ac:dyDescent="0.25">
      <c r="A28" s="7" t="s">
        <v>62</v>
      </c>
      <c r="B28" s="8">
        <v>45305</v>
      </c>
      <c r="C28" s="7" t="s">
        <v>63</v>
      </c>
      <c r="D28" s="8">
        <v>45309</v>
      </c>
      <c r="E28" s="13">
        <v>40</v>
      </c>
      <c r="F28" s="13" t="str">
        <f t="shared" si="0"/>
        <v>Low Price</v>
      </c>
      <c r="G28" s="7">
        <v>3</v>
      </c>
      <c r="H28" s="7">
        <f t="shared" si="1"/>
        <v>4</v>
      </c>
      <c r="I28" s="7">
        <f>E28-H28</f>
        <v>36</v>
      </c>
      <c r="J28" s="7">
        <f>E28*G28+H28</f>
        <v>124</v>
      </c>
    </row>
    <row r="29" spans="1:10" x14ac:dyDescent="0.25">
      <c r="A29" s="7" t="s">
        <v>64</v>
      </c>
      <c r="B29" s="8">
        <v>45305</v>
      </c>
      <c r="C29" s="7" t="s">
        <v>65</v>
      </c>
      <c r="D29" s="8">
        <v>45310</v>
      </c>
      <c r="E29" s="13">
        <v>200</v>
      </c>
      <c r="F29" s="13" t="str">
        <f t="shared" si="0"/>
        <v>High Price</v>
      </c>
      <c r="G29" s="7">
        <v>1</v>
      </c>
      <c r="H29" s="7">
        <f t="shared" si="1"/>
        <v>20</v>
      </c>
      <c r="I29" s="7">
        <f>E29-H29</f>
        <v>180</v>
      </c>
      <c r="J29" s="7">
        <f>E29*G29+H29</f>
        <v>220</v>
      </c>
    </row>
    <row r="30" spans="1:10" x14ac:dyDescent="0.25">
      <c r="A30" s="7" t="s">
        <v>66</v>
      </c>
      <c r="B30" s="8">
        <v>45306</v>
      </c>
      <c r="C30" s="7" t="s">
        <v>67</v>
      </c>
      <c r="D30" s="8">
        <v>45310</v>
      </c>
      <c r="E30" s="13">
        <v>30</v>
      </c>
      <c r="F30" s="13" t="str">
        <f t="shared" si="0"/>
        <v>Low Price</v>
      </c>
      <c r="G30" s="7">
        <v>5</v>
      </c>
      <c r="H30" s="7">
        <f t="shared" si="1"/>
        <v>3</v>
      </c>
      <c r="I30" s="7">
        <f>E30-H30</f>
        <v>27</v>
      </c>
      <c r="J30" s="7">
        <f>E30*G30+H30</f>
        <v>153</v>
      </c>
    </row>
    <row r="31" spans="1:10" x14ac:dyDescent="0.25">
      <c r="A31" s="7" t="s">
        <v>68</v>
      </c>
      <c r="B31" s="8">
        <v>45306</v>
      </c>
      <c r="C31" s="7" t="s">
        <v>69</v>
      </c>
      <c r="D31" s="8">
        <v>45310</v>
      </c>
      <c r="E31" s="13">
        <v>80</v>
      </c>
      <c r="F31" s="13" t="str">
        <f t="shared" si="0"/>
        <v>Medium Price</v>
      </c>
      <c r="G31" s="7">
        <v>2</v>
      </c>
      <c r="H31" s="7">
        <f t="shared" si="1"/>
        <v>8</v>
      </c>
      <c r="I31" s="7">
        <f>E31-H31</f>
        <v>72</v>
      </c>
      <c r="J31" s="7">
        <f>E31*G31+H31</f>
        <v>168</v>
      </c>
    </row>
    <row r="32" spans="1:10" x14ac:dyDescent="0.25">
      <c r="A32" s="7" t="s">
        <v>70</v>
      </c>
      <c r="B32" s="8">
        <v>45307</v>
      </c>
      <c r="C32" s="7" t="s">
        <v>71</v>
      </c>
      <c r="D32" s="8">
        <v>45310</v>
      </c>
      <c r="E32" s="13">
        <v>50</v>
      </c>
      <c r="F32" s="13" t="str">
        <f t="shared" si="0"/>
        <v>Low Price</v>
      </c>
      <c r="G32" s="7">
        <v>3</v>
      </c>
      <c r="H32" s="7">
        <f t="shared" si="1"/>
        <v>5</v>
      </c>
      <c r="I32" s="7">
        <f>E32-H32</f>
        <v>45</v>
      </c>
      <c r="J32" s="7">
        <f>E32*G32+H32</f>
        <v>155</v>
      </c>
    </row>
    <row r="33" spans="1:10" x14ac:dyDescent="0.25">
      <c r="A33" s="7" t="s">
        <v>72</v>
      </c>
      <c r="B33" s="8">
        <v>45307</v>
      </c>
      <c r="C33" s="7" t="s">
        <v>73</v>
      </c>
      <c r="D33" s="8">
        <v>45308</v>
      </c>
      <c r="E33" s="13">
        <v>130</v>
      </c>
      <c r="F33" s="13" t="str">
        <f t="shared" si="0"/>
        <v>Medium Price</v>
      </c>
      <c r="G33" s="7">
        <v>1</v>
      </c>
      <c r="H33" s="7">
        <f t="shared" si="1"/>
        <v>13</v>
      </c>
      <c r="I33" s="7">
        <f>E33-H33</f>
        <v>117</v>
      </c>
      <c r="J33" s="7">
        <f>E33*G33+H33</f>
        <v>143</v>
      </c>
    </row>
    <row r="34" spans="1:10" x14ac:dyDescent="0.25">
      <c r="A34" s="7" t="s">
        <v>74</v>
      </c>
      <c r="B34" s="8">
        <v>45308</v>
      </c>
      <c r="C34" s="7" t="s">
        <v>75</v>
      </c>
      <c r="D34" s="8">
        <v>45310</v>
      </c>
      <c r="E34" s="13">
        <v>20</v>
      </c>
      <c r="F34" s="13" t="str">
        <f t="shared" si="0"/>
        <v>Low Price</v>
      </c>
      <c r="G34" s="7">
        <v>4</v>
      </c>
      <c r="H34" s="7">
        <f t="shared" si="1"/>
        <v>2</v>
      </c>
      <c r="I34" s="7">
        <f>E34-H34</f>
        <v>18</v>
      </c>
      <c r="J34" s="7">
        <f>E34*G34+H34</f>
        <v>82</v>
      </c>
    </row>
    <row r="35" spans="1:10" x14ac:dyDescent="0.25">
      <c r="A35" s="7" t="s">
        <v>76</v>
      </c>
      <c r="B35" s="8">
        <v>45308</v>
      </c>
      <c r="C35" s="7" t="s">
        <v>77</v>
      </c>
      <c r="D35" s="8">
        <v>45310</v>
      </c>
      <c r="E35" s="13">
        <v>150</v>
      </c>
      <c r="F35" s="13" t="str">
        <f t="shared" si="0"/>
        <v>High Price</v>
      </c>
      <c r="G35" s="7">
        <v>1</v>
      </c>
      <c r="H35" s="7">
        <f t="shared" si="1"/>
        <v>15</v>
      </c>
      <c r="I35" s="7">
        <f>E35-H35</f>
        <v>135</v>
      </c>
      <c r="J35" s="7">
        <f>E35*G35+H35</f>
        <v>165</v>
      </c>
    </row>
    <row r="36" spans="1:10" x14ac:dyDescent="0.25">
      <c r="A36" s="7" t="s">
        <v>78</v>
      </c>
      <c r="B36" s="8">
        <v>45309</v>
      </c>
      <c r="C36" s="7" t="s">
        <v>79</v>
      </c>
      <c r="D36" s="8">
        <v>45314</v>
      </c>
      <c r="E36" s="13">
        <v>70</v>
      </c>
      <c r="F36" s="13" t="str">
        <f t="shared" si="0"/>
        <v>Medium Price</v>
      </c>
      <c r="G36" s="7">
        <v>2</v>
      </c>
      <c r="H36" s="7">
        <f t="shared" si="1"/>
        <v>7</v>
      </c>
      <c r="I36" s="7">
        <f>E36-H36</f>
        <v>63</v>
      </c>
      <c r="J36" s="7">
        <f>E36*G36+H36</f>
        <v>147</v>
      </c>
    </row>
    <row r="37" spans="1:10" x14ac:dyDescent="0.25">
      <c r="A37" s="7" t="s">
        <v>80</v>
      </c>
      <c r="B37" s="8">
        <v>45309</v>
      </c>
      <c r="C37" s="7" t="s">
        <v>81</v>
      </c>
      <c r="D37" s="8">
        <v>45310</v>
      </c>
      <c r="E37" s="13">
        <v>40</v>
      </c>
      <c r="F37" s="13" t="str">
        <f t="shared" si="0"/>
        <v>Low Price</v>
      </c>
      <c r="G37" s="7">
        <v>3</v>
      </c>
      <c r="H37" s="7">
        <f t="shared" si="1"/>
        <v>4</v>
      </c>
      <c r="I37" s="7">
        <f>E37-H37</f>
        <v>36</v>
      </c>
      <c r="J37" s="7">
        <f>E37*G37+H37</f>
        <v>124</v>
      </c>
    </row>
    <row r="38" spans="1:10" x14ac:dyDescent="0.25">
      <c r="A38" s="7" t="s">
        <v>82</v>
      </c>
      <c r="B38" s="8">
        <v>45310</v>
      </c>
      <c r="C38" s="7" t="s">
        <v>83</v>
      </c>
      <c r="D38" s="8">
        <v>45311</v>
      </c>
      <c r="E38" s="13">
        <v>200</v>
      </c>
      <c r="F38" s="13" t="str">
        <f t="shared" si="0"/>
        <v>High Price</v>
      </c>
      <c r="G38" s="7">
        <v>1</v>
      </c>
      <c r="H38" s="7">
        <f t="shared" si="1"/>
        <v>20</v>
      </c>
      <c r="I38" s="7">
        <f>E38-H38</f>
        <v>180</v>
      </c>
      <c r="J38" s="7">
        <f>E38*G38+H38</f>
        <v>220</v>
      </c>
    </row>
    <row r="39" spans="1:10" x14ac:dyDescent="0.25">
      <c r="A39" s="7" t="s">
        <v>84</v>
      </c>
      <c r="B39" s="8">
        <v>45310</v>
      </c>
      <c r="C39" s="7" t="s">
        <v>85</v>
      </c>
      <c r="D39" s="8">
        <v>45313</v>
      </c>
      <c r="E39" s="13">
        <v>30</v>
      </c>
      <c r="F39" s="13" t="str">
        <f t="shared" si="0"/>
        <v>Low Price</v>
      </c>
      <c r="G39" s="7">
        <v>5</v>
      </c>
      <c r="H39" s="7">
        <f t="shared" si="1"/>
        <v>3</v>
      </c>
      <c r="I39" s="7">
        <f>E39-H39</f>
        <v>27</v>
      </c>
      <c r="J39" s="7">
        <f>E39*G39+H39</f>
        <v>153</v>
      </c>
    </row>
    <row r="40" spans="1:10" x14ac:dyDescent="0.25">
      <c r="A40" s="7" t="s">
        <v>86</v>
      </c>
      <c r="B40" s="8">
        <v>45311</v>
      </c>
      <c r="C40" s="7" t="s">
        <v>16</v>
      </c>
      <c r="D40" s="8">
        <v>45315</v>
      </c>
      <c r="E40" s="13">
        <v>80</v>
      </c>
      <c r="F40" s="13" t="str">
        <f t="shared" si="0"/>
        <v>Medium Price</v>
      </c>
      <c r="G40" s="7">
        <v>2</v>
      </c>
      <c r="H40" s="7">
        <f t="shared" si="1"/>
        <v>8</v>
      </c>
      <c r="I40" s="7">
        <f>E40-H40</f>
        <v>72</v>
      </c>
      <c r="J40" s="7">
        <f>E40*G40+H40</f>
        <v>168</v>
      </c>
    </row>
    <row r="41" spans="1:10" x14ac:dyDescent="0.25">
      <c r="A41" s="7" t="s">
        <v>87</v>
      </c>
      <c r="B41" s="8">
        <v>45311</v>
      </c>
      <c r="C41" s="7" t="s">
        <v>58</v>
      </c>
      <c r="D41" s="8">
        <v>45312</v>
      </c>
      <c r="E41" s="13">
        <v>50</v>
      </c>
      <c r="F41" s="13" t="str">
        <f t="shared" si="0"/>
        <v>Low Price</v>
      </c>
      <c r="G41" s="7">
        <v>3</v>
      </c>
      <c r="H41" s="7">
        <f t="shared" si="1"/>
        <v>5</v>
      </c>
      <c r="I41" s="7">
        <f>E41-H41</f>
        <v>45</v>
      </c>
      <c r="J41" s="7">
        <f>E41*G41+H41</f>
        <v>155</v>
      </c>
    </row>
    <row r="42" spans="1:10" x14ac:dyDescent="0.25">
      <c r="A42" s="7" t="s">
        <v>88</v>
      </c>
      <c r="B42" s="8">
        <v>45312</v>
      </c>
      <c r="C42" s="7" t="s">
        <v>20</v>
      </c>
      <c r="D42" s="8">
        <v>45317</v>
      </c>
      <c r="E42" s="13">
        <v>130</v>
      </c>
      <c r="F42" s="13" t="str">
        <f t="shared" si="0"/>
        <v>Medium Price</v>
      </c>
      <c r="G42" s="7">
        <v>1</v>
      </c>
      <c r="H42" s="7">
        <f t="shared" si="1"/>
        <v>13</v>
      </c>
      <c r="I42" s="7">
        <f>E42-H42</f>
        <v>117</v>
      </c>
      <c r="J42" s="7">
        <f>E42*G42+H42</f>
        <v>143</v>
      </c>
    </row>
    <row r="43" spans="1:10" x14ac:dyDescent="0.25">
      <c r="A43" s="7" t="s">
        <v>89</v>
      </c>
      <c r="B43" s="8">
        <v>45312</v>
      </c>
      <c r="C43" s="7" t="s">
        <v>90</v>
      </c>
      <c r="D43" s="8">
        <v>45314</v>
      </c>
      <c r="E43" s="13">
        <v>20</v>
      </c>
      <c r="F43" s="13" t="str">
        <f t="shared" si="0"/>
        <v>Low Price</v>
      </c>
      <c r="G43" s="7">
        <v>4</v>
      </c>
      <c r="H43" s="7">
        <f t="shared" si="1"/>
        <v>2</v>
      </c>
      <c r="I43" s="7">
        <f>E43-H43</f>
        <v>18</v>
      </c>
      <c r="J43" s="7">
        <f>E43*G43+H43</f>
        <v>82</v>
      </c>
    </row>
    <row r="44" spans="1:10" x14ac:dyDescent="0.25">
      <c r="A44" s="7" t="s">
        <v>91</v>
      </c>
      <c r="B44" s="8">
        <v>45313</v>
      </c>
      <c r="C44" s="7" t="s">
        <v>92</v>
      </c>
      <c r="D44" s="8">
        <v>45316</v>
      </c>
      <c r="E44" s="13">
        <v>150</v>
      </c>
      <c r="F44" s="13" t="str">
        <f t="shared" si="0"/>
        <v>High Price</v>
      </c>
      <c r="G44" s="7">
        <v>1</v>
      </c>
      <c r="H44" s="7">
        <f t="shared" si="1"/>
        <v>15</v>
      </c>
      <c r="I44" s="7">
        <f>E44-H44</f>
        <v>135</v>
      </c>
      <c r="J44" s="7">
        <f>E44*G44+H44</f>
        <v>165</v>
      </c>
    </row>
    <row r="45" spans="1:10" x14ac:dyDescent="0.25">
      <c r="A45" s="7" t="s">
        <v>93</v>
      </c>
      <c r="B45" s="8">
        <v>45313</v>
      </c>
      <c r="C45" s="7" t="s">
        <v>18</v>
      </c>
      <c r="D45" s="8">
        <v>45316</v>
      </c>
      <c r="E45" s="13">
        <v>70</v>
      </c>
      <c r="F45" s="13" t="str">
        <f t="shared" si="0"/>
        <v>Medium Price</v>
      </c>
      <c r="G45" s="7">
        <v>2</v>
      </c>
      <c r="H45" s="7">
        <f t="shared" si="1"/>
        <v>7</v>
      </c>
      <c r="I45" s="7">
        <f>E45-H45</f>
        <v>63</v>
      </c>
      <c r="J45" s="7">
        <f>E45*G45+H45</f>
        <v>147</v>
      </c>
    </row>
    <row r="46" spans="1:10" x14ac:dyDescent="0.25">
      <c r="A46" s="7" t="s">
        <v>94</v>
      </c>
      <c r="B46" s="8">
        <v>45314</v>
      </c>
      <c r="C46" s="7" t="s">
        <v>95</v>
      </c>
      <c r="D46" s="8">
        <v>45318</v>
      </c>
      <c r="E46" s="13">
        <v>40</v>
      </c>
      <c r="F46" s="13" t="str">
        <f t="shared" si="0"/>
        <v>Low Price</v>
      </c>
      <c r="G46" s="7">
        <v>3</v>
      </c>
      <c r="H46" s="7">
        <f t="shared" si="1"/>
        <v>4</v>
      </c>
      <c r="I46" s="7">
        <f>E46-H46</f>
        <v>36</v>
      </c>
      <c r="J46" s="7">
        <f>E46*G46+H46</f>
        <v>124</v>
      </c>
    </row>
    <row r="47" spans="1:10" x14ac:dyDescent="0.25">
      <c r="A47" s="7" t="s">
        <v>96</v>
      </c>
      <c r="B47" s="8">
        <v>45314</v>
      </c>
      <c r="C47" s="7" t="s">
        <v>50</v>
      </c>
      <c r="D47" s="8">
        <v>45317</v>
      </c>
      <c r="E47" s="13">
        <v>200</v>
      </c>
      <c r="F47" s="13" t="str">
        <f t="shared" si="0"/>
        <v>High Price</v>
      </c>
      <c r="G47" s="7">
        <v>1</v>
      </c>
      <c r="H47" s="7">
        <f t="shared" si="1"/>
        <v>20</v>
      </c>
      <c r="I47" s="7">
        <f>E47-H47</f>
        <v>180</v>
      </c>
      <c r="J47" s="7">
        <f>E47*G47+H47</f>
        <v>220</v>
      </c>
    </row>
    <row r="48" spans="1:10" x14ac:dyDescent="0.25">
      <c r="A48" s="7" t="s">
        <v>97</v>
      </c>
      <c r="B48" s="8">
        <v>45315</v>
      </c>
      <c r="C48" s="7" t="s">
        <v>98</v>
      </c>
      <c r="D48" s="8">
        <v>45316</v>
      </c>
      <c r="E48" s="13">
        <v>30</v>
      </c>
      <c r="F48" s="13" t="str">
        <f t="shared" si="0"/>
        <v>Low Price</v>
      </c>
      <c r="G48" s="7">
        <v>5</v>
      </c>
      <c r="H48" s="7">
        <f t="shared" si="1"/>
        <v>3</v>
      </c>
      <c r="I48" s="7">
        <f>E48-H48</f>
        <v>27</v>
      </c>
      <c r="J48" s="7">
        <f>E48*G48+H48</f>
        <v>153</v>
      </c>
    </row>
    <row r="49" spans="1:10" x14ac:dyDescent="0.25">
      <c r="A49" s="7" t="s">
        <v>99</v>
      </c>
      <c r="B49" s="8">
        <v>45315</v>
      </c>
      <c r="C49" s="7" t="s">
        <v>100</v>
      </c>
      <c r="D49" s="8">
        <v>45317</v>
      </c>
      <c r="E49" s="13">
        <v>80</v>
      </c>
      <c r="F49" s="13" t="str">
        <f t="shared" si="0"/>
        <v>Medium Price</v>
      </c>
      <c r="G49" s="7">
        <v>2</v>
      </c>
      <c r="H49" s="7">
        <f t="shared" si="1"/>
        <v>8</v>
      </c>
      <c r="I49" s="7">
        <f>E49-H49</f>
        <v>72</v>
      </c>
      <c r="J49" s="7">
        <f>E49*G49+H49</f>
        <v>168</v>
      </c>
    </row>
    <row r="50" spans="1:10" x14ac:dyDescent="0.25">
      <c r="A50" s="7" t="s">
        <v>101</v>
      </c>
      <c r="B50" s="8">
        <v>45316</v>
      </c>
      <c r="C50" s="7" t="s">
        <v>102</v>
      </c>
      <c r="D50" s="8">
        <v>45321</v>
      </c>
      <c r="E50" s="13">
        <v>50</v>
      </c>
      <c r="F50" s="13" t="str">
        <f t="shared" si="0"/>
        <v>Low Price</v>
      </c>
      <c r="G50" s="7">
        <v>3</v>
      </c>
      <c r="H50" s="7">
        <f t="shared" si="1"/>
        <v>5</v>
      </c>
      <c r="I50" s="7">
        <f>E50-H50</f>
        <v>45</v>
      </c>
      <c r="J50" s="7">
        <f>E50*G50+H50</f>
        <v>155</v>
      </c>
    </row>
    <row r="51" spans="1:10" x14ac:dyDescent="0.25">
      <c r="A51" s="7" t="s">
        <v>103</v>
      </c>
      <c r="B51" s="8">
        <v>45316</v>
      </c>
      <c r="C51" s="7" t="s">
        <v>104</v>
      </c>
      <c r="D51" s="8">
        <v>45318</v>
      </c>
      <c r="E51" s="13">
        <v>130</v>
      </c>
      <c r="F51" s="13" t="str">
        <f t="shared" si="0"/>
        <v>Medium Price</v>
      </c>
      <c r="G51" s="7">
        <v>1</v>
      </c>
      <c r="H51" s="7">
        <f t="shared" si="1"/>
        <v>13</v>
      </c>
      <c r="I51" s="7">
        <f>E51-H51</f>
        <v>117</v>
      </c>
      <c r="J51" s="7">
        <f>E51*G51+H51</f>
        <v>143</v>
      </c>
    </row>
    <row r="52" spans="1:10" x14ac:dyDescent="0.25">
      <c r="A52" s="7" t="s">
        <v>105</v>
      </c>
      <c r="B52" s="8">
        <v>45317</v>
      </c>
      <c r="C52" s="7" t="s">
        <v>106</v>
      </c>
      <c r="D52" s="8">
        <v>45320</v>
      </c>
      <c r="E52" s="13">
        <v>20</v>
      </c>
      <c r="F52" s="13" t="str">
        <f t="shared" si="0"/>
        <v>Low Price</v>
      </c>
      <c r="G52" s="7">
        <v>4</v>
      </c>
      <c r="H52" s="7">
        <f t="shared" si="1"/>
        <v>2</v>
      </c>
      <c r="I52" s="7">
        <f>E52-H52</f>
        <v>18</v>
      </c>
      <c r="J52" s="7">
        <f>E52*G52+H52</f>
        <v>82</v>
      </c>
    </row>
    <row r="53" spans="1:10" x14ac:dyDescent="0.25">
      <c r="A53" s="7" t="s">
        <v>107</v>
      </c>
      <c r="B53" s="8">
        <v>45317</v>
      </c>
      <c r="C53" s="7" t="s">
        <v>108</v>
      </c>
      <c r="D53" s="8">
        <v>45319</v>
      </c>
      <c r="E53" s="13">
        <v>150</v>
      </c>
      <c r="F53" s="13" t="str">
        <f t="shared" si="0"/>
        <v>High Price</v>
      </c>
      <c r="G53" s="7">
        <v>1</v>
      </c>
      <c r="H53" s="7">
        <f t="shared" si="1"/>
        <v>15</v>
      </c>
      <c r="I53" s="7">
        <f>E53-H53</f>
        <v>135</v>
      </c>
      <c r="J53" s="7">
        <f>E53*G53+H53</f>
        <v>165</v>
      </c>
    </row>
    <row r="54" spans="1:10" x14ac:dyDescent="0.25">
      <c r="A54" s="7" t="s">
        <v>109</v>
      </c>
      <c r="B54" s="8">
        <v>45318</v>
      </c>
      <c r="C54" s="7" t="s">
        <v>110</v>
      </c>
      <c r="D54" s="8">
        <v>45322</v>
      </c>
      <c r="E54" s="13">
        <v>70</v>
      </c>
      <c r="F54" s="13" t="str">
        <f t="shared" si="0"/>
        <v>Medium Price</v>
      </c>
      <c r="G54" s="7">
        <v>2</v>
      </c>
      <c r="H54" s="7">
        <f t="shared" si="1"/>
        <v>7</v>
      </c>
      <c r="I54" s="7">
        <f>E54-H54</f>
        <v>63</v>
      </c>
      <c r="J54" s="7">
        <f>E54*G54+H54</f>
        <v>147</v>
      </c>
    </row>
    <row r="55" spans="1:10" x14ac:dyDescent="0.25">
      <c r="A55" s="7" t="s">
        <v>111</v>
      </c>
      <c r="B55" s="8">
        <v>45318</v>
      </c>
      <c r="C55" s="7" t="s">
        <v>112</v>
      </c>
      <c r="D55" s="8">
        <v>45322</v>
      </c>
      <c r="E55" s="13">
        <v>40</v>
      </c>
      <c r="F55" s="13" t="str">
        <f t="shared" si="0"/>
        <v>Low Price</v>
      </c>
      <c r="G55" s="7">
        <v>3</v>
      </c>
      <c r="H55" s="7">
        <f t="shared" si="1"/>
        <v>4</v>
      </c>
      <c r="I55" s="7">
        <f>E55-H55</f>
        <v>36</v>
      </c>
      <c r="J55" s="7">
        <f>E55*G55+H55</f>
        <v>124</v>
      </c>
    </row>
    <row r="56" spans="1:10" x14ac:dyDescent="0.25">
      <c r="A56" s="7" t="s">
        <v>113</v>
      </c>
      <c r="B56" s="8">
        <v>45319</v>
      </c>
      <c r="C56" s="7" t="s">
        <v>114</v>
      </c>
      <c r="D56" s="8">
        <v>45320</v>
      </c>
      <c r="E56" s="13">
        <v>200</v>
      </c>
      <c r="F56" s="13" t="str">
        <f t="shared" si="0"/>
        <v>High Price</v>
      </c>
      <c r="G56" s="7">
        <v>1</v>
      </c>
      <c r="H56" s="7">
        <f t="shared" si="1"/>
        <v>20</v>
      </c>
      <c r="I56" s="7">
        <f>E56-H56</f>
        <v>180</v>
      </c>
      <c r="J56" s="7">
        <f>E56*G56+H56</f>
        <v>220</v>
      </c>
    </row>
    <row r="57" spans="1:10" x14ac:dyDescent="0.25">
      <c r="A57" s="7" t="s">
        <v>115</v>
      </c>
      <c r="B57" s="8">
        <v>45319</v>
      </c>
      <c r="C57" s="7" t="s">
        <v>116</v>
      </c>
      <c r="D57" s="8">
        <v>45320</v>
      </c>
      <c r="E57" s="13">
        <v>30</v>
      </c>
      <c r="F57" s="13" t="str">
        <f t="shared" si="0"/>
        <v>Low Price</v>
      </c>
      <c r="G57" s="7">
        <v>5</v>
      </c>
      <c r="H57" s="7">
        <f t="shared" si="1"/>
        <v>3</v>
      </c>
      <c r="I57" s="7">
        <f>E57-H57</f>
        <v>27</v>
      </c>
      <c r="J57" s="7">
        <f>E57*G57+H57</f>
        <v>153</v>
      </c>
    </row>
    <row r="58" spans="1:10" x14ac:dyDescent="0.25">
      <c r="A58" s="7" t="s">
        <v>117</v>
      </c>
      <c r="B58" s="8">
        <v>45320</v>
      </c>
      <c r="C58" s="7" t="s">
        <v>118</v>
      </c>
      <c r="D58" s="8">
        <v>45321</v>
      </c>
      <c r="E58" s="13">
        <v>80</v>
      </c>
      <c r="F58" s="13" t="str">
        <f t="shared" si="0"/>
        <v>Medium Price</v>
      </c>
      <c r="G58" s="7">
        <v>2</v>
      </c>
      <c r="H58" s="7">
        <f t="shared" si="1"/>
        <v>8</v>
      </c>
      <c r="I58" s="7">
        <f>E58-H58</f>
        <v>72</v>
      </c>
      <c r="J58" s="7">
        <f>E58*G58+H58</f>
        <v>168</v>
      </c>
    </row>
    <row r="59" spans="1:10" x14ac:dyDescent="0.25">
      <c r="A59" s="7" t="s">
        <v>119</v>
      </c>
      <c r="B59" s="8">
        <v>45320</v>
      </c>
      <c r="C59" s="7" t="s">
        <v>90</v>
      </c>
      <c r="D59" s="8">
        <v>45322</v>
      </c>
      <c r="E59" s="13">
        <v>50</v>
      </c>
      <c r="F59" s="13" t="str">
        <f t="shared" si="0"/>
        <v>Low Price</v>
      </c>
      <c r="G59" s="7">
        <v>3</v>
      </c>
      <c r="H59" s="7">
        <f t="shared" si="1"/>
        <v>5</v>
      </c>
      <c r="I59" s="7">
        <f>E59-H59</f>
        <v>45</v>
      </c>
      <c r="J59" s="7">
        <f>E59*G59+H59</f>
        <v>155</v>
      </c>
    </row>
    <row r="60" spans="1:10" x14ac:dyDescent="0.25">
      <c r="A60" s="7" t="s">
        <v>120</v>
      </c>
      <c r="B60" s="8">
        <v>45321</v>
      </c>
      <c r="C60" s="7" t="s">
        <v>92</v>
      </c>
      <c r="D60" s="8">
        <v>45322</v>
      </c>
      <c r="E60" s="13">
        <v>130</v>
      </c>
      <c r="F60" s="13" t="str">
        <f t="shared" si="0"/>
        <v>Medium Price</v>
      </c>
      <c r="G60" s="7">
        <v>1</v>
      </c>
      <c r="H60" s="7">
        <f t="shared" si="1"/>
        <v>13</v>
      </c>
      <c r="I60" s="7">
        <f>E60-H60</f>
        <v>117</v>
      </c>
      <c r="J60" s="7">
        <f>E60*G60+H60</f>
        <v>143</v>
      </c>
    </row>
    <row r="61" spans="1:10" x14ac:dyDescent="0.25">
      <c r="A61" s="7" t="s">
        <v>121</v>
      </c>
      <c r="B61" s="8">
        <v>45321</v>
      </c>
      <c r="C61" s="7" t="s">
        <v>18</v>
      </c>
      <c r="D61" s="8">
        <v>45323</v>
      </c>
      <c r="E61" s="13">
        <v>20</v>
      </c>
      <c r="F61" s="13" t="str">
        <f t="shared" si="0"/>
        <v>Low Price</v>
      </c>
      <c r="G61" s="7">
        <v>4</v>
      </c>
      <c r="H61" s="7">
        <f t="shared" si="1"/>
        <v>2</v>
      </c>
      <c r="I61" s="7">
        <f>E61-H61</f>
        <v>18</v>
      </c>
      <c r="J61" s="7">
        <f>E61*G61+H61</f>
        <v>82</v>
      </c>
    </row>
    <row r="62" spans="1:10" x14ac:dyDescent="0.25">
      <c r="A62" s="7" t="s">
        <v>122</v>
      </c>
      <c r="B62" s="8">
        <v>45322</v>
      </c>
      <c r="C62" s="7" t="s">
        <v>95</v>
      </c>
      <c r="D62" s="8">
        <v>45324</v>
      </c>
      <c r="E62" s="13">
        <v>150</v>
      </c>
      <c r="F62" s="13" t="str">
        <f t="shared" si="0"/>
        <v>High Price</v>
      </c>
      <c r="G62" s="7">
        <v>1</v>
      </c>
      <c r="H62" s="7">
        <f t="shared" si="1"/>
        <v>15</v>
      </c>
      <c r="I62" s="7">
        <f>E62-H62</f>
        <v>135</v>
      </c>
      <c r="J62" s="7">
        <f>E62*G62+H62</f>
        <v>165</v>
      </c>
    </row>
    <row r="63" spans="1:10" x14ac:dyDescent="0.25">
      <c r="A63" s="7" t="s">
        <v>123</v>
      </c>
      <c r="B63" s="8">
        <v>45322</v>
      </c>
      <c r="C63" s="7" t="s">
        <v>50</v>
      </c>
      <c r="D63" s="8">
        <v>45326</v>
      </c>
      <c r="E63" s="13">
        <v>70</v>
      </c>
      <c r="F63" s="13" t="str">
        <f t="shared" si="0"/>
        <v>Medium Price</v>
      </c>
      <c r="G63" s="7">
        <v>2</v>
      </c>
      <c r="H63" s="7">
        <f t="shared" si="1"/>
        <v>7</v>
      </c>
      <c r="I63" s="7">
        <f>E63-H63</f>
        <v>63</v>
      </c>
      <c r="J63" s="7">
        <f>E63*G63+H63</f>
        <v>147</v>
      </c>
    </row>
    <row r="64" spans="1:10" x14ac:dyDescent="0.25">
      <c r="A64" s="7" t="s">
        <v>124</v>
      </c>
      <c r="B64" s="8">
        <v>45323</v>
      </c>
      <c r="C64" s="7" t="s">
        <v>98</v>
      </c>
      <c r="D64" s="8">
        <v>45324</v>
      </c>
      <c r="E64" s="13">
        <v>40</v>
      </c>
      <c r="F64" s="13" t="str">
        <f t="shared" si="0"/>
        <v>Low Price</v>
      </c>
      <c r="G64" s="7">
        <v>3</v>
      </c>
      <c r="H64" s="7">
        <f t="shared" si="1"/>
        <v>4</v>
      </c>
      <c r="I64" s="7">
        <f>E64-H64</f>
        <v>36</v>
      </c>
      <c r="J64" s="7">
        <f>E64*G64+H64</f>
        <v>124</v>
      </c>
    </row>
    <row r="65" spans="1:10" x14ac:dyDescent="0.25">
      <c r="A65" s="7" t="s">
        <v>125</v>
      </c>
      <c r="B65" s="8">
        <v>45323</v>
      </c>
      <c r="C65" s="7" t="s">
        <v>100</v>
      </c>
      <c r="D65" s="8">
        <v>45327</v>
      </c>
      <c r="E65" s="13">
        <v>200</v>
      </c>
      <c r="F65" s="13" t="str">
        <f t="shared" si="0"/>
        <v>High Price</v>
      </c>
      <c r="G65" s="7">
        <v>1</v>
      </c>
      <c r="H65" s="7">
        <f t="shared" si="1"/>
        <v>20</v>
      </c>
      <c r="I65" s="7">
        <f>E65-H65</f>
        <v>180</v>
      </c>
      <c r="J65" s="7">
        <f>E65*G65+H65</f>
        <v>220</v>
      </c>
    </row>
    <row r="66" spans="1:10" x14ac:dyDescent="0.25">
      <c r="A66" s="7" t="s">
        <v>126</v>
      </c>
      <c r="B66" s="8">
        <v>45323</v>
      </c>
      <c r="C66" s="7" t="s">
        <v>102</v>
      </c>
      <c r="D66" s="8">
        <v>45325</v>
      </c>
      <c r="E66" s="13">
        <v>30</v>
      </c>
      <c r="F66" s="13" t="str">
        <f t="shared" si="0"/>
        <v>Low Price</v>
      </c>
      <c r="G66" s="7">
        <v>5</v>
      </c>
      <c r="H66" s="7">
        <f t="shared" si="1"/>
        <v>3</v>
      </c>
      <c r="I66" s="7">
        <f>E66-H66</f>
        <v>27</v>
      </c>
      <c r="J66" s="7">
        <f>E66*G66+H66</f>
        <v>153</v>
      </c>
    </row>
    <row r="67" spans="1:10" x14ac:dyDescent="0.25">
      <c r="A67" s="7" t="s">
        <v>127</v>
      </c>
      <c r="B67" s="8">
        <v>45324</v>
      </c>
      <c r="C67" s="7" t="s">
        <v>104</v>
      </c>
      <c r="D67" s="8">
        <v>45328</v>
      </c>
      <c r="E67" s="13">
        <v>80</v>
      </c>
      <c r="F67" s="13" t="str">
        <f t="shared" ref="F67:F71" si="2">_xlfn.IFS(E67&lt;=50,"Low Price",E67&lt;=130,"Medium Price",E67&lt;=200,"High Price")</f>
        <v>Medium Price</v>
      </c>
      <c r="G67" s="7">
        <v>2</v>
      </c>
      <c r="H67" s="7">
        <f t="shared" ref="H67:H71" si="3">E67*10%</f>
        <v>8</v>
      </c>
      <c r="I67" s="7">
        <f>E67-H67</f>
        <v>72</v>
      </c>
      <c r="J67" s="7">
        <f>E67*G67+H67</f>
        <v>168</v>
      </c>
    </row>
    <row r="68" spans="1:10" x14ac:dyDescent="0.25">
      <c r="A68" s="7" t="s">
        <v>128</v>
      </c>
      <c r="B68" s="8">
        <v>45325</v>
      </c>
      <c r="C68" s="7" t="s">
        <v>106</v>
      </c>
      <c r="D68" s="8">
        <v>45328</v>
      </c>
      <c r="E68" s="13">
        <v>50</v>
      </c>
      <c r="F68" s="13" t="str">
        <f t="shared" si="2"/>
        <v>Low Price</v>
      </c>
      <c r="G68" s="7">
        <v>3</v>
      </c>
      <c r="H68" s="7">
        <f t="shared" si="3"/>
        <v>5</v>
      </c>
      <c r="I68" s="7">
        <f>E68-H68</f>
        <v>45</v>
      </c>
      <c r="J68" s="7">
        <f>E68*G68+H68</f>
        <v>155</v>
      </c>
    </row>
    <row r="69" spans="1:10" x14ac:dyDescent="0.25">
      <c r="A69" s="7" t="s">
        <v>129</v>
      </c>
      <c r="B69" s="8">
        <v>45326</v>
      </c>
      <c r="C69" s="7" t="s">
        <v>108</v>
      </c>
      <c r="D69" s="8">
        <v>45327</v>
      </c>
      <c r="E69" s="13">
        <v>130</v>
      </c>
      <c r="F69" s="13" t="str">
        <f t="shared" si="2"/>
        <v>Medium Price</v>
      </c>
      <c r="G69" s="7">
        <v>1</v>
      </c>
      <c r="H69" s="7">
        <f t="shared" si="3"/>
        <v>13</v>
      </c>
      <c r="I69" s="7">
        <f>E69-H69</f>
        <v>117</v>
      </c>
      <c r="J69" s="7">
        <f>E69*G69+H69</f>
        <v>143</v>
      </c>
    </row>
    <row r="70" spans="1:10" x14ac:dyDescent="0.25">
      <c r="A70" s="7" t="s">
        <v>130</v>
      </c>
      <c r="B70" s="8">
        <v>45326</v>
      </c>
      <c r="C70" s="7" t="s">
        <v>110</v>
      </c>
      <c r="D70" s="8">
        <v>45330</v>
      </c>
      <c r="E70" s="13">
        <v>20</v>
      </c>
      <c r="F70" s="13" t="str">
        <f t="shared" si="2"/>
        <v>Low Price</v>
      </c>
      <c r="G70" s="7">
        <v>4</v>
      </c>
      <c r="H70" s="7">
        <f t="shared" si="3"/>
        <v>2</v>
      </c>
      <c r="I70" s="7">
        <f>E70-H70</f>
        <v>18</v>
      </c>
      <c r="J70" s="7">
        <f>E70*G70+H70</f>
        <v>82</v>
      </c>
    </row>
    <row r="71" spans="1:10" x14ac:dyDescent="0.25">
      <c r="A71" s="7" t="s">
        <v>131</v>
      </c>
      <c r="B71" s="8">
        <v>45326</v>
      </c>
      <c r="C71" s="7" t="s">
        <v>112</v>
      </c>
      <c r="D71" s="8">
        <v>45329</v>
      </c>
      <c r="E71" s="13">
        <v>150</v>
      </c>
      <c r="F71" s="13" t="str">
        <f t="shared" si="2"/>
        <v>High Price</v>
      </c>
      <c r="G71" s="7">
        <v>1</v>
      </c>
      <c r="H71" s="7">
        <f t="shared" si="3"/>
        <v>15</v>
      </c>
      <c r="I71" s="7">
        <f>E71-H71</f>
        <v>135</v>
      </c>
      <c r="J71" s="7">
        <f>E71*G71+H71</f>
        <v>165</v>
      </c>
    </row>
  </sheetData>
  <autoFilter ref="A1:J71" xr:uid="{09187711-0040-467D-BC82-BFE577D28D6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E4017-035E-4D4E-84AD-E5A92F30D5B3}">
  <dimension ref="A1:B111"/>
  <sheetViews>
    <sheetView topLeftCell="A81" workbookViewId="0">
      <selection activeCell="F75" sqref="F75"/>
    </sheetView>
  </sheetViews>
  <sheetFormatPr defaultRowHeight="15" x14ac:dyDescent="0.25"/>
  <cols>
    <col min="1" max="1" width="13.42578125" bestFit="1" customWidth="1"/>
    <col min="2" max="2" width="24.140625" bestFit="1" customWidth="1"/>
  </cols>
  <sheetData>
    <row r="1" spans="1:2" x14ac:dyDescent="0.25">
      <c r="A1" s="15" t="s">
        <v>135</v>
      </c>
      <c r="B1" t="s">
        <v>140</v>
      </c>
    </row>
    <row r="2" spans="1:2" x14ac:dyDescent="0.25">
      <c r="A2" s="16" t="s">
        <v>136</v>
      </c>
      <c r="B2" s="14">
        <v>15</v>
      </c>
    </row>
    <row r="3" spans="1:2" x14ac:dyDescent="0.25">
      <c r="A3" s="16" t="s">
        <v>137</v>
      </c>
      <c r="B3" s="14">
        <v>31</v>
      </c>
    </row>
    <row r="4" spans="1:2" x14ac:dyDescent="0.25">
      <c r="A4" s="16" t="s">
        <v>138</v>
      </c>
      <c r="B4" s="14">
        <v>24</v>
      </c>
    </row>
    <row r="5" spans="1:2" x14ac:dyDescent="0.25">
      <c r="A5" s="16" t="s">
        <v>139</v>
      </c>
      <c r="B5" s="14">
        <v>70</v>
      </c>
    </row>
    <row r="18" spans="1:2" x14ac:dyDescent="0.25">
      <c r="A18" s="15" t="s">
        <v>135</v>
      </c>
      <c r="B18" t="s">
        <v>176</v>
      </c>
    </row>
    <row r="19" spans="1:2" x14ac:dyDescent="0.25">
      <c r="A19" s="16" t="s">
        <v>141</v>
      </c>
      <c r="B19" s="14">
        <v>80</v>
      </c>
    </row>
    <row r="20" spans="1:2" x14ac:dyDescent="0.25">
      <c r="A20" s="16" t="s">
        <v>142</v>
      </c>
      <c r="B20" s="14">
        <v>120</v>
      </c>
    </row>
    <row r="21" spans="1:2" x14ac:dyDescent="0.25">
      <c r="A21" s="16" t="s">
        <v>143</v>
      </c>
      <c r="B21" s="14">
        <v>230</v>
      </c>
    </row>
    <row r="22" spans="1:2" x14ac:dyDescent="0.25">
      <c r="A22" s="16" t="s">
        <v>144</v>
      </c>
      <c r="B22" s="14">
        <v>110</v>
      </c>
    </row>
    <row r="23" spans="1:2" x14ac:dyDescent="0.25">
      <c r="A23" s="16" t="s">
        <v>145</v>
      </c>
      <c r="B23" s="14">
        <v>290</v>
      </c>
    </row>
    <row r="24" spans="1:2" x14ac:dyDescent="0.25">
      <c r="A24" s="16" t="s">
        <v>146</v>
      </c>
      <c r="B24" s="14">
        <v>110</v>
      </c>
    </row>
    <row r="25" spans="1:2" x14ac:dyDescent="0.25">
      <c r="A25" s="16" t="s">
        <v>147</v>
      </c>
      <c r="B25" s="14">
        <v>180</v>
      </c>
    </row>
    <row r="26" spans="1:2" x14ac:dyDescent="0.25">
      <c r="A26" s="16" t="s">
        <v>148</v>
      </c>
      <c r="B26" s="14">
        <v>170</v>
      </c>
    </row>
    <row r="27" spans="1:2" x14ac:dyDescent="0.25">
      <c r="A27" s="16" t="s">
        <v>149</v>
      </c>
      <c r="B27" s="14">
        <v>110</v>
      </c>
    </row>
    <row r="28" spans="1:2" x14ac:dyDescent="0.25">
      <c r="A28" s="16" t="s">
        <v>150</v>
      </c>
      <c r="B28" s="14">
        <v>230</v>
      </c>
    </row>
    <row r="29" spans="1:2" x14ac:dyDescent="0.25">
      <c r="A29" s="16" t="s">
        <v>151</v>
      </c>
      <c r="B29" s="14">
        <v>130</v>
      </c>
    </row>
    <row r="30" spans="1:2" x14ac:dyDescent="0.25">
      <c r="A30" s="16" t="s">
        <v>152</v>
      </c>
      <c r="B30" s="14">
        <v>150</v>
      </c>
    </row>
    <row r="31" spans="1:2" x14ac:dyDescent="0.25">
      <c r="A31" s="16" t="s">
        <v>153</v>
      </c>
      <c r="B31" s="14">
        <v>220</v>
      </c>
    </row>
    <row r="32" spans="1:2" x14ac:dyDescent="0.25">
      <c r="A32" s="16" t="s">
        <v>154</v>
      </c>
      <c r="B32" s="14">
        <v>240</v>
      </c>
    </row>
    <row r="33" spans="1:2" x14ac:dyDescent="0.25">
      <c r="A33" s="16" t="s">
        <v>155</v>
      </c>
      <c r="B33" s="14">
        <v>110</v>
      </c>
    </row>
    <row r="34" spans="1:2" x14ac:dyDescent="0.25">
      <c r="A34" s="16" t="s">
        <v>156</v>
      </c>
      <c r="B34" s="14">
        <v>180</v>
      </c>
    </row>
    <row r="35" spans="1:2" x14ac:dyDescent="0.25">
      <c r="A35" s="16" t="s">
        <v>157</v>
      </c>
      <c r="B35" s="14">
        <v>170</v>
      </c>
    </row>
    <row r="36" spans="1:2" x14ac:dyDescent="0.25">
      <c r="A36" s="16" t="s">
        <v>158</v>
      </c>
      <c r="B36" s="14">
        <v>110</v>
      </c>
    </row>
    <row r="37" spans="1:2" x14ac:dyDescent="0.25">
      <c r="A37" s="16" t="s">
        <v>159</v>
      </c>
      <c r="B37" s="14">
        <v>230</v>
      </c>
    </row>
    <row r="38" spans="1:2" x14ac:dyDescent="0.25">
      <c r="A38" s="16" t="s">
        <v>160</v>
      </c>
      <c r="B38" s="14">
        <v>130</v>
      </c>
    </row>
    <row r="39" spans="1:2" x14ac:dyDescent="0.25">
      <c r="A39" s="16" t="s">
        <v>161</v>
      </c>
      <c r="B39" s="14">
        <v>150</v>
      </c>
    </row>
    <row r="40" spans="1:2" x14ac:dyDescent="0.25">
      <c r="A40" s="16" t="s">
        <v>162</v>
      </c>
      <c r="B40" s="14">
        <v>220</v>
      </c>
    </row>
    <row r="41" spans="1:2" x14ac:dyDescent="0.25">
      <c r="A41" s="16" t="s">
        <v>163</v>
      </c>
      <c r="B41" s="14">
        <v>240</v>
      </c>
    </row>
    <row r="42" spans="1:2" x14ac:dyDescent="0.25">
      <c r="A42" s="16" t="s">
        <v>164</v>
      </c>
      <c r="B42" s="14">
        <v>110</v>
      </c>
    </row>
    <row r="43" spans="1:2" x14ac:dyDescent="0.25">
      <c r="A43" s="16" t="s">
        <v>165</v>
      </c>
      <c r="B43" s="14">
        <v>180</v>
      </c>
    </row>
    <row r="44" spans="1:2" x14ac:dyDescent="0.25">
      <c r="A44" s="16" t="s">
        <v>166</v>
      </c>
      <c r="B44" s="14">
        <v>170</v>
      </c>
    </row>
    <row r="45" spans="1:2" x14ac:dyDescent="0.25">
      <c r="A45" s="16" t="s">
        <v>167</v>
      </c>
      <c r="B45" s="14">
        <v>110</v>
      </c>
    </row>
    <row r="46" spans="1:2" x14ac:dyDescent="0.25">
      <c r="A46" s="16" t="s">
        <v>168</v>
      </c>
      <c r="B46" s="14">
        <v>230</v>
      </c>
    </row>
    <row r="47" spans="1:2" x14ac:dyDescent="0.25">
      <c r="A47" s="16" t="s">
        <v>169</v>
      </c>
      <c r="B47" s="14">
        <v>130</v>
      </c>
    </row>
    <row r="48" spans="1:2" x14ac:dyDescent="0.25">
      <c r="A48" s="16" t="s">
        <v>170</v>
      </c>
      <c r="B48" s="14">
        <v>150</v>
      </c>
    </row>
    <row r="49" spans="1:2" x14ac:dyDescent="0.25">
      <c r="A49" s="16" t="s">
        <v>171</v>
      </c>
      <c r="B49" s="14">
        <v>220</v>
      </c>
    </row>
    <row r="50" spans="1:2" x14ac:dyDescent="0.25">
      <c r="A50" s="16" t="s">
        <v>172</v>
      </c>
      <c r="B50" s="14">
        <v>270</v>
      </c>
    </row>
    <row r="51" spans="1:2" x14ac:dyDescent="0.25">
      <c r="A51" s="16" t="s">
        <v>173</v>
      </c>
      <c r="B51" s="14">
        <v>80</v>
      </c>
    </row>
    <row r="52" spans="1:2" x14ac:dyDescent="0.25">
      <c r="A52" s="16" t="s">
        <v>174</v>
      </c>
      <c r="B52" s="14">
        <v>50</v>
      </c>
    </row>
    <row r="53" spans="1:2" x14ac:dyDescent="0.25">
      <c r="A53" s="16" t="s">
        <v>175</v>
      </c>
      <c r="B53" s="14">
        <v>300</v>
      </c>
    </row>
    <row r="54" spans="1:2" x14ac:dyDescent="0.25">
      <c r="A54" s="16" t="s">
        <v>139</v>
      </c>
      <c r="B54" s="14">
        <v>5910</v>
      </c>
    </row>
    <row r="58" spans="1:2" x14ac:dyDescent="0.25">
      <c r="A58" s="15" t="s">
        <v>135</v>
      </c>
      <c r="B58" t="s">
        <v>177</v>
      </c>
    </row>
    <row r="59" spans="1:2" x14ac:dyDescent="0.25">
      <c r="A59" s="16" t="s">
        <v>136</v>
      </c>
      <c r="B59" s="14">
        <v>15</v>
      </c>
    </row>
    <row r="60" spans="1:2" x14ac:dyDescent="0.25">
      <c r="A60" s="16" t="s">
        <v>137</v>
      </c>
      <c r="B60" s="14">
        <v>112</v>
      </c>
    </row>
    <row r="61" spans="1:2" x14ac:dyDescent="0.25">
      <c r="A61" s="16" t="s">
        <v>138</v>
      </c>
      <c r="B61" s="14">
        <v>41</v>
      </c>
    </row>
    <row r="62" spans="1:2" x14ac:dyDescent="0.25">
      <c r="A62" s="16" t="s">
        <v>139</v>
      </c>
      <c r="B62" s="14">
        <v>168</v>
      </c>
    </row>
    <row r="75" spans="1:2" x14ac:dyDescent="0.25">
      <c r="A75" s="15" t="s">
        <v>135</v>
      </c>
      <c r="B75" t="s">
        <v>177</v>
      </c>
    </row>
    <row r="76" spans="1:2" x14ac:dyDescent="0.25">
      <c r="A76" s="16" t="s">
        <v>141</v>
      </c>
      <c r="B76" s="14">
        <v>3</v>
      </c>
    </row>
    <row r="77" spans="1:2" x14ac:dyDescent="0.25">
      <c r="A77" s="16" t="s">
        <v>142</v>
      </c>
      <c r="B77" s="14">
        <v>7</v>
      </c>
    </row>
    <row r="78" spans="1:2" x14ac:dyDescent="0.25">
      <c r="A78" s="16" t="s">
        <v>143</v>
      </c>
      <c r="B78" s="14">
        <v>3</v>
      </c>
    </row>
    <row r="79" spans="1:2" x14ac:dyDescent="0.25">
      <c r="A79" s="16" t="s">
        <v>144</v>
      </c>
      <c r="B79" s="14">
        <v>5</v>
      </c>
    </row>
    <row r="80" spans="1:2" x14ac:dyDescent="0.25">
      <c r="A80" s="16" t="s">
        <v>145</v>
      </c>
      <c r="B80" s="14">
        <v>2</v>
      </c>
    </row>
    <row r="81" spans="1:2" x14ac:dyDescent="0.25">
      <c r="A81" s="16" t="s">
        <v>146</v>
      </c>
      <c r="B81" s="14">
        <v>7</v>
      </c>
    </row>
    <row r="82" spans="1:2" x14ac:dyDescent="0.25">
      <c r="A82" s="16" t="s">
        <v>147</v>
      </c>
      <c r="B82" s="14">
        <v>4</v>
      </c>
    </row>
    <row r="83" spans="1:2" x14ac:dyDescent="0.25">
      <c r="A83" s="16" t="s">
        <v>148</v>
      </c>
      <c r="B83" s="14">
        <v>5</v>
      </c>
    </row>
    <row r="84" spans="1:2" x14ac:dyDescent="0.25">
      <c r="A84" s="16" t="s">
        <v>149</v>
      </c>
      <c r="B84" s="14">
        <v>5</v>
      </c>
    </row>
    <row r="85" spans="1:2" x14ac:dyDescent="0.25">
      <c r="A85" s="16" t="s">
        <v>150</v>
      </c>
      <c r="B85" s="14">
        <v>6</v>
      </c>
    </row>
    <row r="86" spans="1:2" x14ac:dyDescent="0.25">
      <c r="A86" s="16" t="s">
        <v>151</v>
      </c>
      <c r="B86" s="14">
        <v>5</v>
      </c>
    </row>
    <row r="87" spans="1:2" x14ac:dyDescent="0.25">
      <c r="A87" s="16" t="s">
        <v>152</v>
      </c>
      <c r="B87" s="14">
        <v>5</v>
      </c>
    </row>
    <row r="88" spans="1:2" x14ac:dyDescent="0.25">
      <c r="A88" s="16" t="s">
        <v>153</v>
      </c>
      <c r="B88" s="14">
        <v>3</v>
      </c>
    </row>
    <row r="89" spans="1:2" x14ac:dyDescent="0.25">
      <c r="A89" s="16" t="s">
        <v>154</v>
      </c>
      <c r="B89" s="14">
        <v>4</v>
      </c>
    </row>
    <row r="90" spans="1:2" x14ac:dyDescent="0.25">
      <c r="A90" s="16" t="s">
        <v>155</v>
      </c>
      <c r="B90" s="14">
        <v>7</v>
      </c>
    </row>
    <row r="91" spans="1:2" x14ac:dyDescent="0.25">
      <c r="A91" s="16" t="s">
        <v>156</v>
      </c>
      <c r="B91" s="14">
        <v>4</v>
      </c>
    </row>
    <row r="92" spans="1:2" x14ac:dyDescent="0.25">
      <c r="A92" s="16" t="s">
        <v>157</v>
      </c>
      <c r="B92" s="14">
        <v>5</v>
      </c>
    </row>
    <row r="93" spans="1:2" x14ac:dyDescent="0.25">
      <c r="A93" s="16" t="s">
        <v>158</v>
      </c>
      <c r="B93" s="14">
        <v>5</v>
      </c>
    </row>
    <row r="94" spans="1:2" x14ac:dyDescent="0.25">
      <c r="A94" s="16" t="s">
        <v>159</v>
      </c>
      <c r="B94" s="14">
        <v>6</v>
      </c>
    </row>
    <row r="95" spans="1:2" x14ac:dyDescent="0.25">
      <c r="A95" s="16" t="s">
        <v>160</v>
      </c>
      <c r="B95" s="14">
        <v>5</v>
      </c>
    </row>
    <row r="96" spans="1:2" x14ac:dyDescent="0.25">
      <c r="A96" s="16" t="s">
        <v>161</v>
      </c>
      <c r="B96" s="14">
        <v>5</v>
      </c>
    </row>
    <row r="97" spans="1:2" x14ac:dyDescent="0.25">
      <c r="A97" s="16" t="s">
        <v>162</v>
      </c>
      <c r="B97" s="14">
        <v>3</v>
      </c>
    </row>
    <row r="98" spans="1:2" x14ac:dyDescent="0.25">
      <c r="A98" s="16" t="s">
        <v>163</v>
      </c>
      <c r="B98" s="14">
        <v>4</v>
      </c>
    </row>
    <row r="99" spans="1:2" x14ac:dyDescent="0.25">
      <c r="A99" s="16" t="s">
        <v>164</v>
      </c>
      <c r="B99" s="14">
        <v>7</v>
      </c>
    </row>
    <row r="100" spans="1:2" x14ac:dyDescent="0.25">
      <c r="A100" s="16" t="s">
        <v>165</v>
      </c>
      <c r="B100" s="14">
        <v>4</v>
      </c>
    </row>
    <row r="101" spans="1:2" x14ac:dyDescent="0.25">
      <c r="A101" s="16" t="s">
        <v>166</v>
      </c>
      <c r="B101" s="14">
        <v>5</v>
      </c>
    </row>
    <row r="102" spans="1:2" x14ac:dyDescent="0.25">
      <c r="A102" s="16" t="s">
        <v>167</v>
      </c>
      <c r="B102" s="14">
        <v>5</v>
      </c>
    </row>
    <row r="103" spans="1:2" x14ac:dyDescent="0.25">
      <c r="A103" s="16" t="s">
        <v>168</v>
      </c>
      <c r="B103" s="14">
        <v>6</v>
      </c>
    </row>
    <row r="104" spans="1:2" x14ac:dyDescent="0.25">
      <c r="A104" s="16" t="s">
        <v>169</v>
      </c>
      <c r="B104" s="14">
        <v>5</v>
      </c>
    </row>
    <row r="105" spans="1:2" x14ac:dyDescent="0.25">
      <c r="A105" s="16" t="s">
        <v>170</v>
      </c>
      <c r="B105" s="14">
        <v>5</v>
      </c>
    </row>
    <row r="106" spans="1:2" x14ac:dyDescent="0.25">
      <c r="A106" s="16" t="s">
        <v>171</v>
      </c>
      <c r="B106" s="14">
        <v>3</v>
      </c>
    </row>
    <row r="107" spans="1:2" x14ac:dyDescent="0.25">
      <c r="A107" s="16" t="s">
        <v>172</v>
      </c>
      <c r="B107" s="14">
        <v>9</v>
      </c>
    </row>
    <row r="108" spans="1:2" x14ac:dyDescent="0.25">
      <c r="A108" s="16" t="s">
        <v>173</v>
      </c>
      <c r="B108" s="14">
        <v>2</v>
      </c>
    </row>
    <row r="109" spans="1:2" x14ac:dyDescent="0.25">
      <c r="A109" s="16" t="s">
        <v>174</v>
      </c>
      <c r="B109" s="14">
        <v>3</v>
      </c>
    </row>
    <row r="110" spans="1:2" x14ac:dyDescent="0.25">
      <c r="A110" s="16" t="s">
        <v>175</v>
      </c>
      <c r="B110" s="14">
        <v>6</v>
      </c>
    </row>
    <row r="111" spans="1:2" x14ac:dyDescent="0.25">
      <c r="A111" s="16" t="s">
        <v>139</v>
      </c>
      <c r="B111" s="14">
        <v>168</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103DD-797B-4F21-BA4A-CF99C85AD4C2}">
  <dimension ref="A1:O5"/>
  <sheetViews>
    <sheetView tabSelected="1" workbookViewId="0">
      <selection activeCell="N4" sqref="N4"/>
    </sheetView>
  </sheetViews>
  <sheetFormatPr defaultRowHeight="15" x14ac:dyDescent="0.25"/>
  <sheetData>
    <row r="1" spans="1:15" x14ac:dyDescent="0.25">
      <c r="A1" s="19" t="s">
        <v>178</v>
      </c>
      <c r="B1" s="17"/>
      <c r="C1" s="17"/>
      <c r="D1" s="17"/>
      <c r="E1" s="17"/>
      <c r="F1" s="17"/>
      <c r="G1" s="17"/>
      <c r="H1" s="17"/>
      <c r="I1" s="17"/>
      <c r="J1" s="17"/>
      <c r="K1" s="17"/>
      <c r="L1" s="17"/>
      <c r="M1" s="17"/>
    </row>
    <row r="2" spans="1:15" x14ac:dyDescent="0.25">
      <c r="A2" s="17"/>
      <c r="B2" s="17"/>
      <c r="C2" s="17"/>
      <c r="D2" s="17"/>
      <c r="E2" s="17"/>
      <c r="F2" s="17"/>
      <c r="G2" s="17"/>
      <c r="H2" s="17"/>
      <c r="I2" s="17"/>
      <c r="J2" s="17"/>
      <c r="K2" s="17"/>
      <c r="L2" s="17"/>
      <c r="M2" s="17"/>
    </row>
    <row r="3" spans="1:15" x14ac:dyDescent="0.25">
      <c r="A3" s="17"/>
      <c r="B3" s="17"/>
      <c r="C3" s="17"/>
      <c r="D3" s="17"/>
      <c r="E3" s="17"/>
      <c r="F3" s="17"/>
      <c r="G3" s="17"/>
      <c r="H3" s="17"/>
      <c r="I3" s="17"/>
      <c r="J3" s="17"/>
      <c r="K3" s="17"/>
      <c r="L3" s="17"/>
      <c r="M3" s="17"/>
    </row>
    <row r="4" spans="1:15" x14ac:dyDescent="0.25">
      <c r="A4" s="17"/>
      <c r="B4" s="17"/>
      <c r="C4" s="17"/>
      <c r="D4" s="17"/>
      <c r="E4" s="17"/>
      <c r="F4" s="17"/>
      <c r="G4" s="17"/>
      <c r="H4" s="17"/>
      <c r="I4" s="17"/>
      <c r="J4" s="17"/>
      <c r="K4" s="17"/>
      <c r="L4" s="17"/>
      <c r="M4" s="17"/>
      <c r="O4" s="18"/>
    </row>
    <row r="5" spans="1:15" x14ac:dyDescent="0.25">
      <c r="A5" s="17"/>
      <c r="B5" s="17"/>
      <c r="C5" s="17"/>
      <c r="D5" s="17"/>
      <c r="E5" s="17"/>
      <c r="F5" s="17"/>
      <c r="G5" s="17"/>
      <c r="H5" s="17"/>
      <c r="I5" s="17"/>
      <c r="J5" s="17"/>
      <c r="K5" s="17"/>
      <c r="L5" s="17"/>
      <c r="M5" s="17"/>
    </row>
  </sheetData>
  <mergeCells count="1">
    <mergeCell ref="A1:M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SuperMarket Sales</vt:lpstr>
      <vt:lpstr>Working Sheet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Seemanto Saha</dc:creator>
  <cp:lastModifiedBy>firdaus ramadhan</cp:lastModifiedBy>
  <dcterms:created xsi:type="dcterms:W3CDTF">2024-02-19T11:17:54Z</dcterms:created>
  <dcterms:modified xsi:type="dcterms:W3CDTF">2026-06-02T04:50:42Z</dcterms:modified>
</cp:coreProperties>
</file>