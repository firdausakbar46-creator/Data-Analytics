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sus\Downloads\data analytics project 1\Excel Project\"/>
    </mc:Choice>
  </mc:AlternateContent>
  <xr:revisionPtr revIDLastSave="0" documentId="13_ncr:1_{96F48605-A631-4255-B72C-25CF18F070A9}" xr6:coauthVersionLast="47" xr6:coauthVersionMax="47" xr10:uidLastSave="{00000000-0000-0000-0000-000000000000}"/>
  <bookViews>
    <workbookView xWindow="-120" yWindow="-120" windowWidth="20730" windowHeight="11760" activeTab="3" xr2:uid="{CE120CA2-B4E2-4FC9-9B81-FB00098FDFE6}"/>
  </bookViews>
  <sheets>
    <sheet name="Project Management Data" sheetId="2" r:id="rId1"/>
    <sheet name="Working Sheet" sheetId="3" r:id="rId2"/>
    <sheet name="Pivot Table" sheetId="4" r:id="rId3"/>
    <sheet name="Dashboard" sheetId="5" r:id="rId4"/>
  </sheets>
  <definedNames>
    <definedName name="_xlnm._FilterDatabase" localSheetId="1" hidden="1">'Working Sheet'!$A$1:$I$1</definedName>
    <definedName name="Slicer_Day_Required_Brackets">#N/A</definedName>
    <definedName name="Slicer_Progress_Brackets">#N/A</definedName>
    <definedName name="Slicer_Project_Name">#N/A</definedName>
  </definedNames>
  <calcPr calcId="191029"/>
  <pivotCaches>
    <pivotCache cacheId="1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 i="3" l="1"/>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2" i="3"/>
</calcChain>
</file>

<file path=xl/sharedStrings.xml><?xml version="1.0" encoding="utf-8"?>
<sst xmlns="http://schemas.openxmlformats.org/spreadsheetml/2006/main" count="344" uniqueCount="129">
  <si>
    <t>Excel Sample Data</t>
  </si>
  <si>
    <t>Project Management Data</t>
  </si>
  <si>
    <t>Project Name</t>
  </si>
  <si>
    <t>Task Name</t>
  </si>
  <si>
    <t>Assigned to</t>
  </si>
  <si>
    <t>Start Date</t>
  </si>
  <si>
    <t>Days Required</t>
  </si>
  <si>
    <t>End Date</t>
  </si>
  <si>
    <t>Progress</t>
  </si>
  <si>
    <t>Marketing</t>
  </si>
  <si>
    <t>Market Research</t>
  </si>
  <si>
    <t>Alice</t>
  </si>
  <si>
    <t>Content Creation</t>
  </si>
  <si>
    <t>Bob</t>
  </si>
  <si>
    <t>Social Media Planning</t>
  </si>
  <si>
    <t>Charlie</t>
  </si>
  <si>
    <t>Campaign Analysis</t>
  </si>
  <si>
    <t>Daisy</t>
  </si>
  <si>
    <t>Product Dev</t>
  </si>
  <si>
    <t>Prototype Development</t>
  </si>
  <si>
    <t>Ethan</t>
  </si>
  <si>
    <t>Quality Assurance</t>
  </si>
  <si>
    <t>Fiona</t>
  </si>
  <si>
    <t>User Interface Design</t>
  </si>
  <si>
    <t>Gabriel</t>
  </si>
  <si>
    <t>Customer Svc</t>
  </si>
  <si>
    <t>Service Improvement</t>
  </si>
  <si>
    <t>Hannah</t>
  </si>
  <si>
    <t>Ticket Resolution</t>
  </si>
  <si>
    <t>Ian</t>
  </si>
  <si>
    <t>Customer Feedback</t>
  </si>
  <si>
    <t>Julia</t>
  </si>
  <si>
    <t>Financial</t>
  </si>
  <si>
    <t>Budget Analysis</t>
  </si>
  <si>
    <t>Kevin</t>
  </si>
  <si>
    <t>Financial Reporting</t>
  </si>
  <si>
    <t>Mark</t>
  </si>
  <si>
    <t>Investment Planning</t>
  </si>
  <si>
    <t>Research</t>
  </si>
  <si>
    <t>Market Trends Analysis</t>
  </si>
  <si>
    <t>Nathan</t>
  </si>
  <si>
    <t>Data Collection</t>
  </si>
  <si>
    <t>Olivia</t>
  </si>
  <si>
    <t>Research Paper Writing</t>
  </si>
  <si>
    <t>Peter</t>
  </si>
  <si>
    <t>Development</t>
  </si>
  <si>
    <t>Software Development</t>
  </si>
  <si>
    <t>Quinn</t>
  </si>
  <si>
    <t>Feature Enhancement</t>
  </si>
  <si>
    <t>Rachel</t>
  </si>
  <si>
    <t>Code Review</t>
  </si>
  <si>
    <t>Sam</t>
  </si>
  <si>
    <t>Production</t>
  </si>
  <si>
    <t>Manufacturing</t>
  </si>
  <si>
    <t>Tim</t>
  </si>
  <si>
    <t>Quality Control</t>
  </si>
  <si>
    <t>Ursula</t>
  </si>
  <si>
    <t>Packaging Design</t>
  </si>
  <si>
    <t>Victor</t>
  </si>
  <si>
    <t>Sales</t>
  </si>
  <si>
    <t>Lead Generation</t>
  </si>
  <si>
    <t>Wendy</t>
  </si>
  <si>
    <t>Client Meetings</t>
  </si>
  <si>
    <t>Xavier</t>
  </si>
  <si>
    <t>Contract Negotiation</t>
  </si>
  <si>
    <t>Yvette</t>
  </si>
  <si>
    <t>Support</t>
  </si>
  <si>
    <t>Technical Support</t>
  </si>
  <si>
    <t>Zoe</t>
  </si>
  <si>
    <t>Bug Fixes</t>
  </si>
  <si>
    <t>Aaron</t>
  </si>
  <si>
    <t>Software Updates</t>
  </si>
  <si>
    <t>Bella</t>
  </si>
  <si>
    <t>Operations</t>
  </si>
  <si>
    <t>Process Optimization</t>
  </si>
  <si>
    <t>Calvin</t>
  </si>
  <si>
    <t>Inventory Management</t>
  </si>
  <si>
    <t>Diane</t>
  </si>
  <si>
    <t>Facility Maintenance</t>
  </si>
  <si>
    <t>Edward</t>
  </si>
  <si>
    <t>Consulting</t>
  </si>
  <si>
    <t>Strategic Planning</t>
  </si>
  <si>
    <t>Market Expansion</t>
  </si>
  <si>
    <t>Gary</t>
  </si>
  <si>
    <t>Client Advisory</t>
  </si>
  <si>
    <t>Helen</t>
  </si>
  <si>
    <t>Training</t>
  </si>
  <si>
    <t>Employee Training</t>
  </si>
  <si>
    <t>Isaac</t>
  </si>
  <si>
    <t>Certification Programs</t>
  </si>
  <si>
    <t>Jane</t>
  </si>
  <si>
    <t>Skill Development</t>
  </si>
  <si>
    <t>Kyle</t>
  </si>
  <si>
    <t>Events</t>
  </si>
  <si>
    <t>Event Planning</t>
  </si>
  <si>
    <t>Laura</t>
  </si>
  <si>
    <t>Conference Management</t>
  </si>
  <si>
    <t>Mike</t>
  </si>
  <si>
    <t>Sponsorship Coordinatio</t>
  </si>
  <si>
    <t>n Nancy</t>
  </si>
  <si>
    <t>Logistics</t>
  </si>
  <si>
    <t>Supply Chain Management</t>
  </si>
  <si>
    <t>Oscar</t>
  </si>
  <si>
    <t>Transportation Planning</t>
  </si>
  <si>
    <t>Patricia</t>
  </si>
  <si>
    <t>Inventory Optimization</t>
  </si>
  <si>
    <t>Quentin</t>
  </si>
  <si>
    <t>Engineering</t>
  </si>
  <si>
    <t>Product Design</t>
  </si>
  <si>
    <t>System Integration</t>
  </si>
  <si>
    <t>Prototype Testing</t>
  </si>
  <si>
    <t>Tom</t>
  </si>
  <si>
    <t>Day Required Brackets</t>
  </si>
  <si>
    <t>Nancy</t>
  </si>
  <si>
    <t>Customer Service</t>
  </si>
  <si>
    <t>Row Labels</t>
  </si>
  <si>
    <t>Grand Total</t>
  </si>
  <si>
    <t>Count of Assigned to</t>
  </si>
  <si>
    <t>Long Day Required</t>
  </si>
  <si>
    <t>Medium Day Required</t>
  </si>
  <si>
    <t>Short Day Required</t>
  </si>
  <si>
    <t>Progress Brackets</t>
  </si>
  <si>
    <t>Average of Progress</t>
  </si>
  <si>
    <t>Almost Done</t>
  </si>
  <si>
    <t>High Progress</t>
  </si>
  <si>
    <t>Low Progress</t>
  </si>
  <si>
    <t>Medium Progress</t>
  </si>
  <si>
    <t>Count of Progress Brackets</t>
  </si>
  <si>
    <t>Dashboard Project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</si>
</sst>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theme="1"/>
      <name val="Aptos Narrow"/>
      <family val="2"/>
      <scheme val="minor"/>
    </font>
    <font>
      <b/>
      <sz val="14"/>
      <color rgb="FF272760"/>
      <name val="Calibri"/>
      <family val="2"/>
    </font>
    <font>
      <sz val="11"/>
      <color theme="1"/>
      <name val="Calibri"/>
      <family val="2"/>
    </font>
    <font>
      <b/>
      <sz val="13"/>
      <color rgb="FF272760"/>
      <name val="Calibri"/>
      <family val="2"/>
    </font>
    <font>
      <b/>
      <sz val="12"/>
      <color rgb="FFFFFFFF"/>
      <name val="Calibri"/>
      <family val="2"/>
    </font>
    <font>
      <sz val="11"/>
      <color rgb="FF000000"/>
      <name val="Calibri"/>
      <family val="2"/>
    </font>
    <font>
      <sz val="28"/>
      <color theme="0"/>
      <name val="Aptos Narrow"/>
      <family val="2"/>
      <scheme val="minor"/>
    </font>
  </fonts>
  <fills count="5">
    <fill>
      <patternFill patternType="none"/>
    </fill>
    <fill>
      <patternFill patternType="gray125"/>
    </fill>
    <fill>
      <patternFill patternType="solid">
        <fgColor rgb="FFD9E1F2"/>
        <bgColor indexed="64"/>
      </patternFill>
    </fill>
    <fill>
      <patternFill patternType="solid">
        <fgColor rgb="FF272760"/>
        <bgColor indexed="64"/>
      </patternFill>
    </fill>
    <fill>
      <patternFill patternType="solid">
        <fgColor theme="4"/>
        <bgColor indexed="64"/>
      </patternFill>
    </fill>
  </fills>
  <borders count="3">
    <border>
      <left/>
      <right/>
      <top/>
      <bottom/>
      <diagonal/>
    </border>
    <border>
      <left/>
      <right/>
      <top/>
      <bottom style="medium">
        <color rgb="FF272760"/>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2" fillId="2" borderId="1" xfId="0" applyFont="1" applyFill="1" applyBorder="1" applyAlignment="1">
      <alignment horizontal="centerContinuous" vertical="center"/>
    </xf>
    <xf numFmtId="0" fontId="3" fillId="0" borderId="0" xfId="0" applyFont="1"/>
    <xf numFmtId="0" fontId="4" fillId="2" borderId="1" xfId="0" applyFont="1" applyFill="1" applyBorder="1" applyAlignment="1">
      <alignment horizontal="centerContinuous" vertical="center"/>
    </xf>
    <xf numFmtId="0" fontId="5" fillId="3" borderId="2" xfId="0" applyFont="1" applyFill="1" applyBorder="1" applyAlignment="1">
      <alignment horizontal="center" vertical="center"/>
    </xf>
    <xf numFmtId="0" fontId="6" fillId="0" borderId="2" xfId="0" applyFont="1" applyBorder="1" applyAlignment="1">
      <alignment vertical="center"/>
    </xf>
    <xf numFmtId="14" fontId="6" fillId="0" borderId="2" xfId="0" applyNumberFormat="1" applyFont="1" applyBorder="1" applyAlignment="1">
      <alignment vertical="center"/>
    </xf>
    <xf numFmtId="9" fontId="6" fillId="0" borderId="2" xfId="1" applyFont="1" applyBorder="1" applyAlignment="1">
      <alignment vertical="center"/>
    </xf>
    <xf numFmtId="14" fontId="5" fillId="3" borderId="2" xfId="0" applyNumberFormat="1" applyFont="1" applyFill="1" applyBorder="1" applyAlignment="1">
      <alignment horizontal="center" vertical="center"/>
    </xf>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9" fontId="0" fillId="0" borderId="0" xfId="0" applyNumberFormat="1"/>
    <xf numFmtId="0" fontId="0" fillId="4" borderId="0" xfId="0" applyFill="1" applyAlignment="1">
      <alignment horizontal="center" vertical="center"/>
    </xf>
    <xf numFmtId="0" fontId="7" fillId="4" borderId="0" xfId="0" applyFont="1" applyFill="1" applyAlignment="1">
      <alignment horizontal="center" vertical="center"/>
    </xf>
    <xf numFmtId="0" fontId="0" fillId="4" borderId="0" xfId="0" applyFill="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Management.xlsx]Pivot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Assigned to by Project Name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c:f>
              <c:strCache>
                <c:ptCount val="1"/>
                <c:pt idx="0">
                  <c:v>Total</c:v>
                </c:pt>
              </c:strCache>
            </c:strRef>
          </c:tx>
          <c:spPr>
            <a:solidFill>
              <a:schemeClr val="accent1"/>
            </a:solidFill>
            <a:ln>
              <a:noFill/>
            </a:ln>
            <a:effectLst/>
          </c:spPr>
          <c:invertIfNegative val="0"/>
          <c:cat>
            <c:strRef>
              <c:f>'Pivot Table'!$A$2:$A$17</c:f>
              <c:strCache>
                <c:ptCount val="15"/>
                <c:pt idx="0">
                  <c:v>Consulting</c:v>
                </c:pt>
                <c:pt idx="1">
                  <c:v>Customer Service</c:v>
                </c:pt>
                <c:pt idx="2">
                  <c:v>Development</c:v>
                </c:pt>
                <c:pt idx="3">
                  <c:v>Engineering</c:v>
                </c:pt>
                <c:pt idx="4">
                  <c:v>Events</c:v>
                </c:pt>
                <c:pt idx="5">
                  <c:v>Financial</c:v>
                </c:pt>
                <c:pt idx="6">
                  <c:v>Logistics</c:v>
                </c:pt>
                <c:pt idx="7">
                  <c:v>Marketing</c:v>
                </c:pt>
                <c:pt idx="8">
                  <c:v>Operations</c:v>
                </c:pt>
                <c:pt idx="9">
                  <c:v>Product Dev</c:v>
                </c:pt>
                <c:pt idx="10">
                  <c:v>Production</c:v>
                </c:pt>
                <c:pt idx="11">
                  <c:v>Research</c:v>
                </c:pt>
                <c:pt idx="12">
                  <c:v>Sales</c:v>
                </c:pt>
                <c:pt idx="13">
                  <c:v>Support</c:v>
                </c:pt>
                <c:pt idx="14">
                  <c:v>Training</c:v>
                </c:pt>
              </c:strCache>
            </c:strRef>
          </c:cat>
          <c:val>
            <c:numRef>
              <c:f>'Pivot Table'!$B$2:$B$17</c:f>
              <c:numCache>
                <c:formatCode>General</c:formatCode>
                <c:ptCount val="15"/>
                <c:pt idx="0">
                  <c:v>3</c:v>
                </c:pt>
                <c:pt idx="1">
                  <c:v>3</c:v>
                </c:pt>
                <c:pt idx="2">
                  <c:v>3</c:v>
                </c:pt>
                <c:pt idx="3">
                  <c:v>3</c:v>
                </c:pt>
                <c:pt idx="4">
                  <c:v>3</c:v>
                </c:pt>
                <c:pt idx="5">
                  <c:v>3</c:v>
                </c:pt>
                <c:pt idx="6">
                  <c:v>3</c:v>
                </c:pt>
                <c:pt idx="7">
                  <c:v>4</c:v>
                </c:pt>
                <c:pt idx="8">
                  <c:v>3</c:v>
                </c:pt>
                <c:pt idx="9">
                  <c:v>3</c:v>
                </c:pt>
                <c:pt idx="10">
                  <c:v>3</c:v>
                </c:pt>
                <c:pt idx="11">
                  <c:v>3</c:v>
                </c:pt>
                <c:pt idx="12">
                  <c:v>3</c:v>
                </c:pt>
                <c:pt idx="13">
                  <c:v>3</c:v>
                </c:pt>
                <c:pt idx="14">
                  <c:v>3</c:v>
                </c:pt>
              </c:numCache>
            </c:numRef>
          </c:val>
          <c:extLst>
            <c:ext xmlns:c16="http://schemas.microsoft.com/office/drawing/2014/chart" uri="{C3380CC4-5D6E-409C-BE32-E72D297353CC}">
              <c16:uniqueId val="{00000000-936C-4EC2-A956-55ED2E4FE22C}"/>
            </c:ext>
          </c:extLst>
        </c:ser>
        <c:dLbls>
          <c:showLegendKey val="0"/>
          <c:showVal val="0"/>
          <c:showCatName val="0"/>
          <c:showSerName val="0"/>
          <c:showPercent val="0"/>
          <c:showBubbleSize val="0"/>
        </c:dLbls>
        <c:gapWidth val="182"/>
        <c:axId val="1622145775"/>
        <c:axId val="1622142895"/>
      </c:barChart>
      <c:catAx>
        <c:axId val="162214577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Project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142895"/>
        <c:crosses val="autoZero"/>
        <c:auto val="1"/>
        <c:lblAlgn val="ctr"/>
        <c:lblOffset val="100"/>
        <c:noMultiLvlLbl val="0"/>
      </c:catAx>
      <c:valAx>
        <c:axId val="16221428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Count</a:t>
                </a:r>
                <a:r>
                  <a:rPr lang="en-ID" baseline="0"/>
                  <a:t> of Assigned</a:t>
                </a:r>
                <a:endParaRPr lang="en-ID"/>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14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Management.xlsx]Pivot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Progress by Project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Table'!$B$21</c:f>
              <c:strCache>
                <c:ptCount val="1"/>
                <c:pt idx="0">
                  <c:v>Total</c:v>
                </c:pt>
              </c:strCache>
            </c:strRef>
          </c:tx>
          <c:spPr>
            <a:solidFill>
              <a:schemeClr val="accent1"/>
            </a:solidFill>
            <a:ln>
              <a:noFill/>
            </a:ln>
            <a:effectLst/>
            <a:sp3d/>
          </c:spPr>
          <c:invertIfNegative val="0"/>
          <c:cat>
            <c:strRef>
              <c:f>'Pivot Table'!$A$22:$A$37</c:f>
              <c:strCache>
                <c:ptCount val="15"/>
                <c:pt idx="0">
                  <c:v>Consulting</c:v>
                </c:pt>
                <c:pt idx="1">
                  <c:v>Customer Service</c:v>
                </c:pt>
                <c:pt idx="2">
                  <c:v>Development</c:v>
                </c:pt>
                <c:pt idx="3">
                  <c:v>Engineering</c:v>
                </c:pt>
                <c:pt idx="4">
                  <c:v>Events</c:v>
                </c:pt>
                <c:pt idx="5">
                  <c:v>Financial</c:v>
                </c:pt>
                <c:pt idx="6">
                  <c:v>Logistics</c:v>
                </c:pt>
                <c:pt idx="7">
                  <c:v>Marketing</c:v>
                </c:pt>
                <c:pt idx="8">
                  <c:v>Operations</c:v>
                </c:pt>
                <c:pt idx="9">
                  <c:v>Product Dev</c:v>
                </c:pt>
                <c:pt idx="10">
                  <c:v>Production</c:v>
                </c:pt>
                <c:pt idx="11">
                  <c:v>Research</c:v>
                </c:pt>
                <c:pt idx="12">
                  <c:v>Sales</c:v>
                </c:pt>
                <c:pt idx="13">
                  <c:v>Support</c:v>
                </c:pt>
                <c:pt idx="14">
                  <c:v>Training</c:v>
                </c:pt>
              </c:strCache>
            </c:strRef>
          </c:cat>
          <c:val>
            <c:numRef>
              <c:f>'Pivot Table'!$B$22:$B$37</c:f>
              <c:numCache>
                <c:formatCode>0%</c:formatCode>
                <c:ptCount val="15"/>
                <c:pt idx="0">
                  <c:v>0.19999999999999998</c:v>
                </c:pt>
                <c:pt idx="1">
                  <c:v>0.66666666666666663</c:v>
                </c:pt>
                <c:pt idx="2">
                  <c:v>0.33333333333333331</c:v>
                </c:pt>
                <c:pt idx="3">
                  <c:v>6.6666666666666666E-2</c:v>
                </c:pt>
                <c:pt idx="4">
                  <c:v>9.9999999999999992E-2</c:v>
                </c:pt>
                <c:pt idx="5">
                  <c:v>0.62666666666666659</c:v>
                </c:pt>
                <c:pt idx="6">
                  <c:v>0.5</c:v>
                </c:pt>
                <c:pt idx="7">
                  <c:v>0.5575</c:v>
                </c:pt>
                <c:pt idx="8">
                  <c:v>0.13333333333333333</c:v>
                </c:pt>
                <c:pt idx="9">
                  <c:v>0.59333333333333338</c:v>
                </c:pt>
                <c:pt idx="10">
                  <c:v>9.9999999999999992E-2</c:v>
                </c:pt>
                <c:pt idx="11">
                  <c:v>0.16666666666666666</c:v>
                </c:pt>
                <c:pt idx="12">
                  <c:v>0.49333333333333335</c:v>
                </c:pt>
                <c:pt idx="13">
                  <c:v>0.66666666666666663</c:v>
                </c:pt>
                <c:pt idx="14">
                  <c:v>0.26666666666666666</c:v>
                </c:pt>
              </c:numCache>
            </c:numRef>
          </c:val>
          <c:extLst>
            <c:ext xmlns:c16="http://schemas.microsoft.com/office/drawing/2014/chart" uri="{C3380CC4-5D6E-409C-BE32-E72D297353CC}">
              <c16:uniqueId val="{00000000-C2BA-49A2-B7E3-0B1D7F7946B7}"/>
            </c:ext>
          </c:extLst>
        </c:ser>
        <c:dLbls>
          <c:showLegendKey val="0"/>
          <c:showVal val="0"/>
          <c:showCatName val="0"/>
          <c:showSerName val="0"/>
          <c:showPercent val="0"/>
          <c:showBubbleSize val="0"/>
        </c:dLbls>
        <c:gapWidth val="150"/>
        <c:shape val="box"/>
        <c:axId val="1622144815"/>
        <c:axId val="1622140975"/>
        <c:axId val="0"/>
      </c:bar3DChart>
      <c:catAx>
        <c:axId val="16221448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Project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140975"/>
        <c:crosses val="autoZero"/>
        <c:auto val="1"/>
        <c:lblAlgn val="ctr"/>
        <c:lblOffset val="100"/>
        <c:noMultiLvlLbl val="0"/>
      </c:catAx>
      <c:valAx>
        <c:axId val="16221409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Progress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144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Management.xlsx]Pivot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progress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Table'!$B$40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Table'!$A$41:$A$45</c:f>
              <c:strCache>
                <c:ptCount val="4"/>
                <c:pt idx="0">
                  <c:v>Almost Done</c:v>
                </c:pt>
                <c:pt idx="1">
                  <c:v>High Progress</c:v>
                </c:pt>
                <c:pt idx="2">
                  <c:v>Low Progress</c:v>
                </c:pt>
                <c:pt idx="3">
                  <c:v>Medium Progress</c:v>
                </c:pt>
              </c:strCache>
            </c:strRef>
          </c:cat>
          <c:val>
            <c:numRef>
              <c:f>'Pivot Table'!$B$41:$B$45</c:f>
              <c:numCache>
                <c:formatCode>General</c:formatCode>
                <c:ptCount val="4"/>
                <c:pt idx="0">
                  <c:v>9</c:v>
                </c:pt>
                <c:pt idx="1">
                  <c:v>6</c:v>
                </c:pt>
                <c:pt idx="2">
                  <c:v>26</c:v>
                </c:pt>
                <c:pt idx="3">
                  <c:v>5</c:v>
                </c:pt>
              </c:numCache>
            </c:numRef>
          </c:val>
          <c:extLst>
            <c:ext xmlns:c16="http://schemas.microsoft.com/office/drawing/2014/chart" uri="{C3380CC4-5D6E-409C-BE32-E72D297353CC}">
              <c16:uniqueId val="{00000000-08E6-4BAD-9349-E1589FCA3D05}"/>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Management.xlsx]Pivot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Count of Assigned to by Day Required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Table'!$B$54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Table'!$A$55:$A$58</c:f>
              <c:strCache>
                <c:ptCount val="3"/>
                <c:pt idx="0">
                  <c:v>Long Day Required</c:v>
                </c:pt>
                <c:pt idx="1">
                  <c:v>Medium Day Required</c:v>
                </c:pt>
                <c:pt idx="2">
                  <c:v>Short Day Required</c:v>
                </c:pt>
              </c:strCache>
            </c:strRef>
          </c:cat>
          <c:val>
            <c:numRef>
              <c:f>'Pivot Table'!$B$55:$B$58</c:f>
              <c:numCache>
                <c:formatCode>General</c:formatCode>
                <c:ptCount val="3"/>
                <c:pt idx="0">
                  <c:v>2</c:v>
                </c:pt>
                <c:pt idx="1">
                  <c:v>36</c:v>
                </c:pt>
                <c:pt idx="2">
                  <c:v>8</c:v>
                </c:pt>
              </c:numCache>
            </c:numRef>
          </c:val>
          <c:extLst>
            <c:ext xmlns:c16="http://schemas.microsoft.com/office/drawing/2014/chart" uri="{C3380CC4-5D6E-409C-BE32-E72D297353CC}">
              <c16:uniqueId val="{00000000-45B2-4A51-924A-8A2F6C86158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Management.xlsx]Pivot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Assigned to by Project Name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c:f>
              <c:strCache>
                <c:ptCount val="1"/>
                <c:pt idx="0">
                  <c:v>Total</c:v>
                </c:pt>
              </c:strCache>
            </c:strRef>
          </c:tx>
          <c:spPr>
            <a:solidFill>
              <a:schemeClr val="accent1"/>
            </a:solidFill>
            <a:ln>
              <a:noFill/>
            </a:ln>
            <a:effectLst/>
          </c:spPr>
          <c:invertIfNegative val="0"/>
          <c:cat>
            <c:strRef>
              <c:f>'Pivot Table'!$A$2:$A$17</c:f>
              <c:strCache>
                <c:ptCount val="15"/>
                <c:pt idx="0">
                  <c:v>Consulting</c:v>
                </c:pt>
                <c:pt idx="1">
                  <c:v>Customer Service</c:v>
                </c:pt>
                <c:pt idx="2">
                  <c:v>Development</c:v>
                </c:pt>
                <c:pt idx="3">
                  <c:v>Engineering</c:v>
                </c:pt>
                <c:pt idx="4">
                  <c:v>Events</c:v>
                </c:pt>
                <c:pt idx="5">
                  <c:v>Financial</c:v>
                </c:pt>
                <c:pt idx="6">
                  <c:v>Logistics</c:v>
                </c:pt>
                <c:pt idx="7">
                  <c:v>Marketing</c:v>
                </c:pt>
                <c:pt idx="8">
                  <c:v>Operations</c:v>
                </c:pt>
                <c:pt idx="9">
                  <c:v>Product Dev</c:v>
                </c:pt>
                <c:pt idx="10">
                  <c:v>Production</c:v>
                </c:pt>
                <c:pt idx="11">
                  <c:v>Research</c:v>
                </c:pt>
                <c:pt idx="12">
                  <c:v>Sales</c:v>
                </c:pt>
                <c:pt idx="13">
                  <c:v>Support</c:v>
                </c:pt>
                <c:pt idx="14">
                  <c:v>Training</c:v>
                </c:pt>
              </c:strCache>
            </c:strRef>
          </c:cat>
          <c:val>
            <c:numRef>
              <c:f>'Pivot Table'!$B$2:$B$17</c:f>
              <c:numCache>
                <c:formatCode>General</c:formatCode>
                <c:ptCount val="15"/>
                <c:pt idx="0">
                  <c:v>3</c:v>
                </c:pt>
                <c:pt idx="1">
                  <c:v>3</c:v>
                </c:pt>
                <c:pt idx="2">
                  <c:v>3</c:v>
                </c:pt>
                <c:pt idx="3">
                  <c:v>3</c:v>
                </c:pt>
                <c:pt idx="4">
                  <c:v>3</c:v>
                </c:pt>
                <c:pt idx="5">
                  <c:v>3</c:v>
                </c:pt>
                <c:pt idx="6">
                  <c:v>3</c:v>
                </c:pt>
                <c:pt idx="7">
                  <c:v>4</c:v>
                </c:pt>
                <c:pt idx="8">
                  <c:v>3</c:v>
                </c:pt>
                <c:pt idx="9">
                  <c:v>3</c:v>
                </c:pt>
                <c:pt idx="10">
                  <c:v>3</c:v>
                </c:pt>
                <c:pt idx="11">
                  <c:v>3</c:v>
                </c:pt>
                <c:pt idx="12">
                  <c:v>3</c:v>
                </c:pt>
                <c:pt idx="13">
                  <c:v>3</c:v>
                </c:pt>
                <c:pt idx="14">
                  <c:v>3</c:v>
                </c:pt>
              </c:numCache>
            </c:numRef>
          </c:val>
          <c:extLst>
            <c:ext xmlns:c16="http://schemas.microsoft.com/office/drawing/2014/chart" uri="{C3380CC4-5D6E-409C-BE32-E72D297353CC}">
              <c16:uniqueId val="{00000000-9E13-459C-8BFC-376F56A26980}"/>
            </c:ext>
          </c:extLst>
        </c:ser>
        <c:dLbls>
          <c:showLegendKey val="0"/>
          <c:showVal val="0"/>
          <c:showCatName val="0"/>
          <c:showSerName val="0"/>
          <c:showPercent val="0"/>
          <c:showBubbleSize val="0"/>
        </c:dLbls>
        <c:gapWidth val="182"/>
        <c:axId val="1622145775"/>
        <c:axId val="1622142895"/>
      </c:barChart>
      <c:catAx>
        <c:axId val="162214577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Project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142895"/>
        <c:crosses val="autoZero"/>
        <c:auto val="1"/>
        <c:lblAlgn val="ctr"/>
        <c:lblOffset val="100"/>
        <c:noMultiLvlLbl val="0"/>
      </c:catAx>
      <c:valAx>
        <c:axId val="16221428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Count</a:t>
                </a:r>
                <a:r>
                  <a:rPr lang="en-ID" baseline="0"/>
                  <a:t> of Assigned</a:t>
                </a:r>
                <a:endParaRPr lang="en-ID"/>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D"/>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14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Management.xlsx]Pivot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Progress by Project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Table'!$B$21</c:f>
              <c:strCache>
                <c:ptCount val="1"/>
                <c:pt idx="0">
                  <c:v>Total</c:v>
                </c:pt>
              </c:strCache>
            </c:strRef>
          </c:tx>
          <c:spPr>
            <a:solidFill>
              <a:schemeClr val="accent1"/>
            </a:solidFill>
            <a:ln>
              <a:noFill/>
            </a:ln>
            <a:effectLst/>
            <a:sp3d/>
          </c:spPr>
          <c:invertIfNegative val="0"/>
          <c:cat>
            <c:strRef>
              <c:f>'Pivot Table'!$A$22:$A$37</c:f>
              <c:strCache>
                <c:ptCount val="15"/>
                <c:pt idx="0">
                  <c:v>Consulting</c:v>
                </c:pt>
                <c:pt idx="1">
                  <c:v>Customer Service</c:v>
                </c:pt>
                <c:pt idx="2">
                  <c:v>Development</c:v>
                </c:pt>
                <c:pt idx="3">
                  <c:v>Engineering</c:v>
                </c:pt>
                <c:pt idx="4">
                  <c:v>Events</c:v>
                </c:pt>
                <c:pt idx="5">
                  <c:v>Financial</c:v>
                </c:pt>
                <c:pt idx="6">
                  <c:v>Logistics</c:v>
                </c:pt>
                <c:pt idx="7">
                  <c:v>Marketing</c:v>
                </c:pt>
                <c:pt idx="8">
                  <c:v>Operations</c:v>
                </c:pt>
                <c:pt idx="9">
                  <c:v>Product Dev</c:v>
                </c:pt>
                <c:pt idx="10">
                  <c:v>Production</c:v>
                </c:pt>
                <c:pt idx="11">
                  <c:v>Research</c:v>
                </c:pt>
                <c:pt idx="12">
                  <c:v>Sales</c:v>
                </c:pt>
                <c:pt idx="13">
                  <c:v>Support</c:v>
                </c:pt>
                <c:pt idx="14">
                  <c:v>Training</c:v>
                </c:pt>
              </c:strCache>
            </c:strRef>
          </c:cat>
          <c:val>
            <c:numRef>
              <c:f>'Pivot Table'!$B$22:$B$37</c:f>
              <c:numCache>
                <c:formatCode>0%</c:formatCode>
                <c:ptCount val="15"/>
                <c:pt idx="0">
                  <c:v>0.19999999999999998</c:v>
                </c:pt>
                <c:pt idx="1">
                  <c:v>0.66666666666666663</c:v>
                </c:pt>
                <c:pt idx="2">
                  <c:v>0.33333333333333331</c:v>
                </c:pt>
                <c:pt idx="3">
                  <c:v>6.6666666666666666E-2</c:v>
                </c:pt>
                <c:pt idx="4">
                  <c:v>9.9999999999999992E-2</c:v>
                </c:pt>
                <c:pt idx="5">
                  <c:v>0.62666666666666659</c:v>
                </c:pt>
                <c:pt idx="6">
                  <c:v>0.5</c:v>
                </c:pt>
                <c:pt idx="7">
                  <c:v>0.5575</c:v>
                </c:pt>
                <c:pt idx="8">
                  <c:v>0.13333333333333333</c:v>
                </c:pt>
                <c:pt idx="9">
                  <c:v>0.59333333333333338</c:v>
                </c:pt>
                <c:pt idx="10">
                  <c:v>9.9999999999999992E-2</c:v>
                </c:pt>
                <c:pt idx="11">
                  <c:v>0.16666666666666666</c:v>
                </c:pt>
                <c:pt idx="12">
                  <c:v>0.49333333333333335</c:v>
                </c:pt>
                <c:pt idx="13">
                  <c:v>0.66666666666666663</c:v>
                </c:pt>
                <c:pt idx="14">
                  <c:v>0.26666666666666666</c:v>
                </c:pt>
              </c:numCache>
            </c:numRef>
          </c:val>
          <c:extLst>
            <c:ext xmlns:c16="http://schemas.microsoft.com/office/drawing/2014/chart" uri="{C3380CC4-5D6E-409C-BE32-E72D297353CC}">
              <c16:uniqueId val="{00000000-0F37-4412-A5BB-0067BBA48E1C}"/>
            </c:ext>
          </c:extLst>
        </c:ser>
        <c:dLbls>
          <c:showLegendKey val="0"/>
          <c:showVal val="0"/>
          <c:showCatName val="0"/>
          <c:showSerName val="0"/>
          <c:showPercent val="0"/>
          <c:showBubbleSize val="0"/>
        </c:dLbls>
        <c:gapWidth val="150"/>
        <c:shape val="box"/>
        <c:axId val="1622144815"/>
        <c:axId val="1622140975"/>
        <c:axId val="0"/>
      </c:bar3DChart>
      <c:catAx>
        <c:axId val="16221448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Project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140975"/>
        <c:crosses val="autoZero"/>
        <c:auto val="1"/>
        <c:lblAlgn val="ctr"/>
        <c:lblOffset val="100"/>
        <c:noMultiLvlLbl val="0"/>
      </c:catAx>
      <c:valAx>
        <c:axId val="16221409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Progress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144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Management.xlsx]Pivot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progress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Table'!$B$40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45A-4E93-B31A-E8EB942FEC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45A-4E93-B31A-E8EB942FEC6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45A-4E93-B31A-E8EB942FEC6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45A-4E93-B31A-E8EB942FEC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Table'!$A$41:$A$45</c:f>
              <c:strCache>
                <c:ptCount val="4"/>
                <c:pt idx="0">
                  <c:v>Almost Done</c:v>
                </c:pt>
                <c:pt idx="1">
                  <c:v>High Progress</c:v>
                </c:pt>
                <c:pt idx="2">
                  <c:v>Low Progress</c:v>
                </c:pt>
                <c:pt idx="3">
                  <c:v>Medium Progress</c:v>
                </c:pt>
              </c:strCache>
            </c:strRef>
          </c:cat>
          <c:val>
            <c:numRef>
              <c:f>'Pivot Table'!$B$41:$B$45</c:f>
              <c:numCache>
                <c:formatCode>General</c:formatCode>
                <c:ptCount val="4"/>
                <c:pt idx="0">
                  <c:v>9</c:v>
                </c:pt>
                <c:pt idx="1">
                  <c:v>6</c:v>
                </c:pt>
                <c:pt idx="2">
                  <c:v>26</c:v>
                </c:pt>
                <c:pt idx="3">
                  <c:v>5</c:v>
                </c:pt>
              </c:numCache>
            </c:numRef>
          </c:val>
          <c:extLst>
            <c:ext xmlns:c16="http://schemas.microsoft.com/office/drawing/2014/chart" uri="{C3380CC4-5D6E-409C-BE32-E72D297353CC}">
              <c16:uniqueId val="{00000008-E45A-4E93-B31A-E8EB942FEC6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Management.xlsx]Pivot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Count of Assigned to by Day Required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Table'!$B$54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FF-46BB-A63B-E262C467B3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FF-46BB-A63B-E262C467B38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4FF-46BB-A63B-E262C467B38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Table'!$A$55:$A$58</c:f>
              <c:strCache>
                <c:ptCount val="3"/>
                <c:pt idx="0">
                  <c:v>Long Day Required</c:v>
                </c:pt>
                <c:pt idx="1">
                  <c:v>Medium Day Required</c:v>
                </c:pt>
                <c:pt idx="2">
                  <c:v>Short Day Required</c:v>
                </c:pt>
              </c:strCache>
            </c:strRef>
          </c:cat>
          <c:val>
            <c:numRef>
              <c:f>'Pivot Table'!$B$55:$B$58</c:f>
              <c:numCache>
                <c:formatCode>General</c:formatCode>
                <c:ptCount val="3"/>
                <c:pt idx="0">
                  <c:v>2</c:v>
                </c:pt>
                <c:pt idx="1">
                  <c:v>36</c:v>
                </c:pt>
                <c:pt idx="2">
                  <c:v>8</c:v>
                </c:pt>
              </c:numCache>
            </c:numRef>
          </c:val>
          <c:extLst>
            <c:ext xmlns:c16="http://schemas.microsoft.com/office/drawing/2014/chart" uri="{C3380CC4-5D6E-409C-BE32-E72D297353CC}">
              <c16:uniqueId val="{00000006-D4FF-46BB-A63B-E262C467B38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180975</xdr:colOff>
      <xdr:row>0</xdr:row>
      <xdr:rowOff>0</xdr:rowOff>
    </xdr:from>
    <xdr:to>
      <xdr:col>8</xdr:col>
      <xdr:colOff>447676</xdr:colOff>
      <xdr:row>17</xdr:row>
      <xdr:rowOff>0</xdr:rowOff>
    </xdr:to>
    <xdr:graphicFrame macro="">
      <xdr:nvGraphicFramePr>
        <xdr:cNvPr id="2" name="Chart 1">
          <a:extLst>
            <a:ext uri="{FF2B5EF4-FFF2-40B4-BE49-F238E27FC236}">
              <a16:creationId xmlns:a16="http://schemas.microsoft.com/office/drawing/2014/main" id="{B62B1BA6-AA9B-5CB1-7954-E4C5C52B70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180975</xdr:colOff>
      <xdr:row>19</xdr:row>
      <xdr:rowOff>171450</xdr:rowOff>
    </xdr:from>
    <xdr:to>
      <xdr:col>8</xdr:col>
      <xdr:colOff>457200</xdr:colOff>
      <xdr:row>37</xdr:row>
      <xdr:rowOff>0</xdr:rowOff>
    </xdr:to>
    <xdr:graphicFrame macro="">
      <xdr:nvGraphicFramePr>
        <xdr:cNvPr id="3" name="Chart 2">
          <a:extLst>
            <a:ext uri="{FF2B5EF4-FFF2-40B4-BE49-F238E27FC236}">
              <a16:creationId xmlns:a16="http://schemas.microsoft.com/office/drawing/2014/main" id="{564D5FDF-1296-DD70-5DD8-0021B4939E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180975</xdr:colOff>
      <xdr:row>38</xdr:row>
      <xdr:rowOff>171450</xdr:rowOff>
    </xdr:from>
    <xdr:to>
      <xdr:col>6</xdr:col>
      <xdr:colOff>171450</xdr:colOff>
      <xdr:row>51</xdr:row>
      <xdr:rowOff>9525</xdr:rowOff>
    </xdr:to>
    <xdr:graphicFrame macro="">
      <xdr:nvGraphicFramePr>
        <xdr:cNvPr id="4" name="Chart 3">
          <a:extLst>
            <a:ext uri="{FF2B5EF4-FFF2-40B4-BE49-F238E27FC236}">
              <a16:creationId xmlns:a16="http://schemas.microsoft.com/office/drawing/2014/main" id="{D87FBB74-9655-ED5A-305E-37F29A2D02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152400</xdr:colOff>
      <xdr:row>53</xdr:row>
      <xdr:rowOff>0</xdr:rowOff>
    </xdr:from>
    <xdr:to>
      <xdr:col>6</xdr:col>
      <xdr:colOff>219075</xdr:colOff>
      <xdr:row>65</xdr:row>
      <xdr:rowOff>123825</xdr:rowOff>
    </xdr:to>
    <xdr:graphicFrame macro="">
      <xdr:nvGraphicFramePr>
        <xdr:cNvPr id="6" name="Chart 5">
          <a:extLst>
            <a:ext uri="{FF2B5EF4-FFF2-40B4-BE49-F238E27FC236}">
              <a16:creationId xmlns:a16="http://schemas.microsoft.com/office/drawing/2014/main" id="{AD982697-ED9A-DC54-E6B8-C44D5178D9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4</xdr:row>
      <xdr:rowOff>9525</xdr:rowOff>
    </xdr:from>
    <xdr:to>
      <xdr:col>13</xdr:col>
      <xdr:colOff>600076</xdr:colOff>
      <xdr:row>21</xdr:row>
      <xdr:rowOff>28575</xdr:rowOff>
    </xdr:to>
    <xdr:graphicFrame macro="">
      <xdr:nvGraphicFramePr>
        <xdr:cNvPr id="2" name="Chart 1">
          <a:extLst>
            <a:ext uri="{FF2B5EF4-FFF2-40B4-BE49-F238E27FC236}">
              <a16:creationId xmlns:a16="http://schemas.microsoft.com/office/drawing/2014/main" id="{5D94496C-B173-4C62-98C8-5963DEA138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9525</xdr:colOff>
      <xdr:row>33</xdr:row>
      <xdr:rowOff>28575</xdr:rowOff>
    </xdr:from>
    <xdr:to>
      <xdr:col>14</xdr:col>
      <xdr:colOff>28575</xdr:colOff>
      <xdr:row>50</xdr:row>
      <xdr:rowOff>180975</xdr:rowOff>
    </xdr:to>
    <xdr:graphicFrame macro="">
      <xdr:nvGraphicFramePr>
        <xdr:cNvPr id="3" name="Chart 2">
          <a:extLst>
            <a:ext uri="{FF2B5EF4-FFF2-40B4-BE49-F238E27FC236}">
              <a16:creationId xmlns:a16="http://schemas.microsoft.com/office/drawing/2014/main" id="{AF7803BA-2E7C-49DB-858E-9E8A7B6E3B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9525</xdr:colOff>
      <xdr:row>20</xdr:row>
      <xdr:rowOff>180975</xdr:rowOff>
    </xdr:from>
    <xdr:to>
      <xdr:col>7</xdr:col>
      <xdr:colOff>581025</xdr:colOff>
      <xdr:row>33</xdr:row>
      <xdr:rowOff>19050</xdr:rowOff>
    </xdr:to>
    <xdr:graphicFrame macro="">
      <xdr:nvGraphicFramePr>
        <xdr:cNvPr id="4" name="Chart 3">
          <a:extLst>
            <a:ext uri="{FF2B5EF4-FFF2-40B4-BE49-F238E27FC236}">
              <a16:creationId xmlns:a16="http://schemas.microsoft.com/office/drawing/2014/main" id="{B48B2255-1112-4B4A-8E97-7F62F94D4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600075</xdr:colOff>
      <xdr:row>21</xdr:row>
      <xdr:rowOff>0</xdr:rowOff>
    </xdr:from>
    <xdr:to>
      <xdr:col>14</xdr:col>
      <xdr:colOff>28575</xdr:colOff>
      <xdr:row>33</xdr:row>
      <xdr:rowOff>9526</xdr:rowOff>
    </xdr:to>
    <xdr:graphicFrame macro="">
      <xdr:nvGraphicFramePr>
        <xdr:cNvPr id="5" name="Chart 4">
          <a:extLst>
            <a:ext uri="{FF2B5EF4-FFF2-40B4-BE49-F238E27FC236}">
              <a16:creationId xmlns:a16="http://schemas.microsoft.com/office/drawing/2014/main" id="{0D3A9ACE-1C26-49B5-B981-4F057775B9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3</xdr:row>
      <xdr:rowOff>180976</xdr:rowOff>
    </xdr:from>
    <xdr:to>
      <xdr:col>1</xdr:col>
      <xdr:colOff>590550</xdr:colOff>
      <xdr:row>22</xdr:row>
      <xdr:rowOff>0</xdr:rowOff>
    </xdr:to>
    <mc:AlternateContent xmlns:mc="http://schemas.openxmlformats.org/markup-compatibility/2006">
      <mc:Choice xmlns:a14="http://schemas.microsoft.com/office/drawing/2010/main" Requires="a14">
        <xdr:graphicFrame macro="">
          <xdr:nvGraphicFramePr>
            <xdr:cNvPr id="6" name="Project Name">
              <a:extLst>
                <a:ext uri="{FF2B5EF4-FFF2-40B4-BE49-F238E27FC236}">
                  <a16:creationId xmlns:a16="http://schemas.microsoft.com/office/drawing/2014/main" id="{DBAB5E70-D1D5-56A9-A604-5E0C1280C90C}"/>
                </a:ext>
              </a:extLst>
            </xdr:cNvPr>
            <xdr:cNvGraphicFramePr/>
          </xdr:nvGraphicFramePr>
          <xdr:xfrm>
            <a:off x="0" y="0"/>
            <a:ext cx="0" cy="0"/>
          </xdr:xfrm>
          <a:graphic>
            <a:graphicData uri="http://schemas.microsoft.com/office/drawing/2010/slicer">
              <sle:slicer xmlns:sle="http://schemas.microsoft.com/office/drawing/2010/slicer" name="Project Name"/>
            </a:graphicData>
          </a:graphic>
        </xdr:graphicFrame>
      </mc:Choice>
      <mc:Fallback>
        <xdr:sp macro="" textlink="">
          <xdr:nvSpPr>
            <xdr:cNvPr id="0" name=""/>
            <xdr:cNvSpPr>
              <a:spLocks noTextEdit="1"/>
            </xdr:cNvSpPr>
          </xdr:nvSpPr>
          <xdr:spPr>
            <a:xfrm>
              <a:off x="0" y="752476"/>
              <a:ext cx="1200150" cy="343852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180975</xdr:rowOff>
    </xdr:from>
    <xdr:to>
      <xdr:col>1</xdr:col>
      <xdr:colOff>600074</xdr:colOff>
      <xdr:row>37</xdr:row>
      <xdr:rowOff>180975</xdr:rowOff>
    </xdr:to>
    <mc:AlternateContent xmlns:mc="http://schemas.openxmlformats.org/markup-compatibility/2006">
      <mc:Choice xmlns:a14="http://schemas.microsoft.com/office/drawing/2010/main" Requires="a14">
        <xdr:graphicFrame macro="">
          <xdr:nvGraphicFramePr>
            <xdr:cNvPr id="7" name="Day Required Brackets">
              <a:extLst>
                <a:ext uri="{FF2B5EF4-FFF2-40B4-BE49-F238E27FC236}">
                  <a16:creationId xmlns:a16="http://schemas.microsoft.com/office/drawing/2014/main" id="{31103E7F-3A09-F9F9-235F-1C96DB16636F}"/>
                </a:ext>
              </a:extLst>
            </xdr:cNvPr>
            <xdr:cNvGraphicFramePr/>
          </xdr:nvGraphicFramePr>
          <xdr:xfrm>
            <a:off x="0" y="0"/>
            <a:ext cx="0" cy="0"/>
          </xdr:xfrm>
          <a:graphic>
            <a:graphicData uri="http://schemas.microsoft.com/office/drawing/2010/slicer">
              <sle:slicer xmlns:sle="http://schemas.microsoft.com/office/drawing/2010/slicer" name="Day Required Brackets"/>
            </a:graphicData>
          </a:graphic>
        </xdr:graphicFrame>
      </mc:Choice>
      <mc:Fallback>
        <xdr:sp macro="" textlink="">
          <xdr:nvSpPr>
            <xdr:cNvPr id="0" name=""/>
            <xdr:cNvSpPr>
              <a:spLocks noTextEdit="1"/>
            </xdr:cNvSpPr>
          </xdr:nvSpPr>
          <xdr:spPr>
            <a:xfrm>
              <a:off x="0" y="5895975"/>
              <a:ext cx="1209674" cy="13335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47625</xdr:rowOff>
    </xdr:from>
    <xdr:to>
      <xdr:col>1</xdr:col>
      <xdr:colOff>600074</xdr:colOff>
      <xdr:row>30</xdr:row>
      <xdr:rowOff>171450</xdr:rowOff>
    </xdr:to>
    <mc:AlternateContent xmlns:mc="http://schemas.openxmlformats.org/markup-compatibility/2006">
      <mc:Choice xmlns:a14="http://schemas.microsoft.com/office/drawing/2010/main" Requires="a14">
        <xdr:graphicFrame macro="">
          <xdr:nvGraphicFramePr>
            <xdr:cNvPr id="8" name="Progress Brackets">
              <a:extLst>
                <a:ext uri="{FF2B5EF4-FFF2-40B4-BE49-F238E27FC236}">
                  <a16:creationId xmlns:a16="http://schemas.microsoft.com/office/drawing/2014/main" id="{4949DEF5-ED9F-A26A-8A0E-2B90BA28A0BA}"/>
                </a:ext>
              </a:extLst>
            </xdr:cNvPr>
            <xdr:cNvGraphicFramePr/>
          </xdr:nvGraphicFramePr>
          <xdr:xfrm>
            <a:off x="0" y="0"/>
            <a:ext cx="0" cy="0"/>
          </xdr:xfrm>
          <a:graphic>
            <a:graphicData uri="http://schemas.microsoft.com/office/drawing/2010/slicer">
              <sle:slicer xmlns:sle="http://schemas.microsoft.com/office/drawing/2010/slicer" name="Progress Brackets"/>
            </a:graphicData>
          </a:graphic>
        </xdr:graphicFrame>
      </mc:Choice>
      <mc:Fallback>
        <xdr:sp macro="" textlink="">
          <xdr:nvSpPr>
            <xdr:cNvPr id="0" name=""/>
            <xdr:cNvSpPr>
              <a:spLocks noTextEdit="1"/>
            </xdr:cNvSpPr>
          </xdr:nvSpPr>
          <xdr:spPr>
            <a:xfrm>
              <a:off x="0" y="4238625"/>
              <a:ext cx="1209674" cy="16478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6.731230902777" createdVersion="8" refreshedVersion="8" minRefreshableVersion="3" recordCount="46" xr:uid="{B63AD08B-D2DC-450E-9AF2-FB0868741916}">
  <cacheSource type="worksheet">
    <worksheetSource ref="A1:I47" sheet="Working Sheet"/>
  </cacheSource>
  <cacheFields count="11">
    <cacheField name="Project Name" numFmtId="0">
      <sharedItems count="15">
        <s v="Marketing"/>
        <s v="Product Dev"/>
        <s v="Customer Service"/>
        <s v="Financial"/>
        <s v="Research"/>
        <s v="Development"/>
        <s v="Production"/>
        <s v="Sales"/>
        <s v="Support"/>
        <s v="Operations"/>
        <s v="Consulting"/>
        <s v="Training"/>
        <s v="Events"/>
        <s v="Logistics"/>
        <s v="Engineering"/>
      </sharedItems>
    </cacheField>
    <cacheField name="Task Name" numFmtId="0">
      <sharedItems/>
    </cacheField>
    <cacheField name="Assigned to" numFmtId="0">
      <sharedItems/>
    </cacheField>
    <cacheField name="Start Date" numFmtId="14">
      <sharedItems containsSemiMixedTypes="0" containsNonDate="0" containsDate="1" containsString="0" minDate="2024-01-01T00:00:00" maxDate="2024-03-30T00:00:00" count="29">
        <d v="2024-01-01T00:00:00"/>
        <d v="2024-01-14T00:00:00"/>
        <d v="2024-01-28T00:00:00"/>
        <d v="2024-02-18T00:00:00"/>
        <d v="2024-01-02T00:00:00"/>
        <d v="2024-01-20T00:00:00"/>
        <d v="2024-02-04T00:00:00"/>
        <d v="2024-02-01T00:00:00"/>
        <d v="2024-02-24T00:00:00"/>
        <d v="2024-03-21T00:00:00"/>
        <d v="2024-02-02T00:00:00"/>
        <d v="2024-02-13T00:00:00"/>
        <d v="2024-03-19T00:00:00"/>
        <d v="2024-01-26T00:00:00"/>
        <d v="2024-02-28T00:00:00"/>
        <d v="2024-02-08T00:00:00"/>
        <d v="2024-03-14T00:00:00"/>
        <d v="2024-01-03T00:00:00"/>
        <d v="2024-02-17T00:00:00"/>
        <d v="2024-01-06T00:00:00"/>
        <d v="2024-02-03T00:00:00"/>
        <d v="2024-01-27T00:00:00"/>
        <d v="2024-03-02T00:00:00"/>
        <d v="2024-02-29T00:00:00"/>
        <d v="2024-03-06T00:00:00"/>
        <d v="2024-01-04T00:00:00"/>
        <d v="2024-01-29T00:00:00"/>
        <d v="2024-03-29T00:00:00"/>
        <d v="2024-02-23T00:00:00"/>
      </sharedItems>
      <fieldGroup par="10"/>
    </cacheField>
    <cacheField name="Days Required" numFmtId="0">
      <sharedItems containsSemiMixedTypes="0" containsString="0" containsNumber="1" containsInteger="1" minValue="10" maxValue="60"/>
    </cacheField>
    <cacheField name="Day Required Brackets" numFmtId="0">
      <sharedItems count="3">
        <s v="Short Day Required"/>
        <s v="Medium Day Required"/>
        <s v="Long Day Required"/>
      </sharedItems>
    </cacheField>
    <cacheField name="End Date" numFmtId="14">
      <sharedItems containsSemiMixedTypes="0" containsNonDate="0" containsDate="1" containsString="0" minDate="2024-01-14T00:00:00" maxDate="2024-04-21T00:00:00"/>
    </cacheField>
    <cacheField name="Progress" numFmtId="9">
      <sharedItems containsSemiMixedTypes="0" containsString="0" containsNumber="1" minValue="0" maxValue="1"/>
    </cacheField>
    <cacheField name="Progress Brackets" numFmtId="9">
      <sharedItems count="4">
        <s v="High Progress"/>
        <s v="Almost Done"/>
        <s v="Medium Progress"/>
        <s v="Low Progress"/>
      </sharedItems>
    </cacheField>
    <cacheField name="Days (Start Date)" numFmtId="0" databaseField="0">
      <fieldGroup base="3">
        <rangePr groupBy="days" startDate="2024-01-01T00:00:00" endDate="2024-03-30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4"/>
        </groupItems>
      </fieldGroup>
    </cacheField>
    <cacheField name="Months (Start Date)" numFmtId="0" databaseField="0">
      <fieldGroup base="3">
        <rangePr groupBy="months" startDate="2024-01-01T00:00:00" endDate="2024-03-30T00:00:00"/>
        <groupItems count="14">
          <s v="&lt;01/01/2024"/>
          <s v="Jan"/>
          <s v="Feb"/>
          <s v="Mar"/>
          <s v="Apr"/>
          <s v="May"/>
          <s v="Jun"/>
          <s v="Jul"/>
          <s v="Aug"/>
          <s v="Sep"/>
          <s v="Oct"/>
          <s v="Nov"/>
          <s v="Dec"/>
          <s v="&gt;30/03/2024"/>
        </groupItems>
      </fieldGroup>
    </cacheField>
  </cacheFields>
  <extLst>
    <ext xmlns:x14="http://schemas.microsoft.com/office/spreadsheetml/2009/9/main" uri="{725AE2AE-9491-48be-B2B4-4EB974FC3084}">
      <x14:pivotCacheDefinition pivotCacheId="8062186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
  <r>
    <x v="0"/>
    <s v="Market Research"/>
    <s v="Alice"/>
    <x v="0"/>
    <n v="13"/>
    <x v="0"/>
    <d v="2024-01-14T00:00:00"/>
    <n v="0.78"/>
    <x v="0"/>
  </r>
  <r>
    <x v="0"/>
    <s v="Content Creation"/>
    <s v="Bob"/>
    <x v="1"/>
    <n v="14"/>
    <x v="0"/>
    <d v="2024-01-28T00:00:00"/>
    <n v="1"/>
    <x v="1"/>
  </r>
  <r>
    <x v="0"/>
    <s v="Social Media Planning"/>
    <s v="Charlie"/>
    <x v="2"/>
    <n v="22"/>
    <x v="1"/>
    <d v="2024-02-19T00:00:00"/>
    <n v="0.45"/>
    <x v="2"/>
  </r>
  <r>
    <x v="0"/>
    <s v="Campaign Analysis"/>
    <s v="Daisy"/>
    <x v="3"/>
    <n v="25"/>
    <x v="1"/>
    <d v="2024-03-14T00:00:00"/>
    <n v="0"/>
    <x v="3"/>
  </r>
  <r>
    <x v="1"/>
    <s v="Prototype Development"/>
    <s v="Ethan"/>
    <x v="4"/>
    <n v="18"/>
    <x v="0"/>
    <d v="2024-01-20T00:00:00"/>
    <n v="1"/>
    <x v="1"/>
  </r>
  <r>
    <x v="1"/>
    <s v="Quality Assurance"/>
    <s v="Fiona"/>
    <x v="5"/>
    <n v="10"/>
    <x v="0"/>
    <d v="2024-01-30T00:00:00"/>
    <n v="0.78"/>
    <x v="0"/>
  </r>
  <r>
    <x v="1"/>
    <s v="User Interface Design"/>
    <s v="Gabriel"/>
    <x v="6"/>
    <n v="25"/>
    <x v="1"/>
    <d v="2024-02-29T00:00:00"/>
    <n v="0"/>
    <x v="3"/>
  </r>
  <r>
    <x v="2"/>
    <s v="Service Improvement"/>
    <s v="Hannah"/>
    <x v="7"/>
    <n v="22"/>
    <x v="1"/>
    <d v="2024-02-23T00:00:00"/>
    <n v="1"/>
    <x v="1"/>
  </r>
  <r>
    <x v="2"/>
    <s v="Ticket Resolution"/>
    <s v="Ian"/>
    <x v="8"/>
    <n v="25"/>
    <x v="1"/>
    <d v="2024-03-20T00:00:00"/>
    <n v="1"/>
    <x v="1"/>
  </r>
  <r>
    <x v="2"/>
    <s v="Customer Feedback"/>
    <s v="Julia"/>
    <x v="9"/>
    <n v="30"/>
    <x v="1"/>
    <d v="2024-04-20T00:00:00"/>
    <n v="0"/>
    <x v="3"/>
  </r>
  <r>
    <x v="3"/>
    <s v="Budget Analysis"/>
    <s v="Kevin"/>
    <x v="10"/>
    <n v="22"/>
    <x v="1"/>
    <d v="2024-02-24T00:00:00"/>
    <n v="0.1"/>
    <x v="3"/>
  </r>
  <r>
    <x v="3"/>
    <s v="Financial Reporting"/>
    <s v="Mark"/>
    <x v="11"/>
    <n v="21"/>
    <x v="1"/>
    <d v="2024-02-09T00:00:00"/>
    <n v="0.78"/>
    <x v="0"/>
  </r>
  <r>
    <x v="3"/>
    <s v="Investment Planning"/>
    <s v="Mark"/>
    <x v="12"/>
    <n v="25"/>
    <x v="1"/>
    <d v="2024-04-13T00:00:00"/>
    <n v="1"/>
    <x v="1"/>
  </r>
  <r>
    <x v="4"/>
    <s v="Market Trends Analysis"/>
    <s v="Nathan"/>
    <x v="4"/>
    <n v="23"/>
    <x v="1"/>
    <d v="2024-01-25T00:00:00"/>
    <n v="0.5"/>
    <x v="2"/>
  </r>
  <r>
    <x v="4"/>
    <s v="Data Collection"/>
    <s v="Olivia"/>
    <x v="13"/>
    <n v="32"/>
    <x v="1"/>
    <d v="2024-02-27T00:00:00"/>
    <n v="0"/>
    <x v="3"/>
  </r>
  <r>
    <x v="4"/>
    <s v="Research Paper Writing"/>
    <s v="Peter"/>
    <x v="14"/>
    <n v="27"/>
    <x v="1"/>
    <d v="2024-03-26T00:00:00"/>
    <n v="0"/>
    <x v="3"/>
  </r>
  <r>
    <x v="5"/>
    <s v="Software Development"/>
    <s v="Quinn"/>
    <x v="4"/>
    <n v="36"/>
    <x v="1"/>
    <d v="2024-02-07T00:00:00"/>
    <n v="1"/>
    <x v="1"/>
  </r>
  <r>
    <x v="5"/>
    <s v="Feature Enhancement"/>
    <s v="Rachel"/>
    <x v="15"/>
    <n v="34"/>
    <x v="1"/>
    <d v="2024-03-13T00:00:00"/>
    <n v="0"/>
    <x v="3"/>
  </r>
  <r>
    <x v="5"/>
    <s v="Code Review"/>
    <s v="Sam"/>
    <x v="16"/>
    <n v="30"/>
    <x v="1"/>
    <d v="2024-04-13T00:00:00"/>
    <n v="0"/>
    <x v="3"/>
  </r>
  <r>
    <x v="6"/>
    <s v="Manufacturing"/>
    <s v="Tim"/>
    <x v="17"/>
    <n v="47"/>
    <x v="2"/>
    <d v="2024-02-19T00:00:00"/>
    <n v="0.3"/>
    <x v="3"/>
  </r>
  <r>
    <x v="6"/>
    <s v="Quality Control"/>
    <s v="Ursula"/>
    <x v="18"/>
    <n v="27"/>
    <x v="1"/>
    <d v="2024-03-15T00:00:00"/>
    <n v="0"/>
    <x v="3"/>
  </r>
  <r>
    <x v="6"/>
    <s v="Packaging Design"/>
    <s v="Victor"/>
    <x v="16"/>
    <n v="22"/>
    <x v="1"/>
    <d v="2024-04-05T00:00:00"/>
    <n v="0"/>
    <x v="3"/>
  </r>
  <r>
    <x v="7"/>
    <s v="Lead Generation"/>
    <s v="Wendy"/>
    <x v="17"/>
    <n v="60"/>
    <x v="2"/>
    <d v="2024-03-03T00:00:00"/>
    <n v="0.7"/>
    <x v="0"/>
  </r>
  <r>
    <x v="7"/>
    <s v="Client Meetings"/>
    <s v="Xavier"/>
    <x v="19"/>
    <n v="20"/>
    <x v="0"/>
    <d v="2024-01-26T00:00:00"/>
    <n v="0.78"/>
    <x v="0"/>
  </r>
  <r>
    <x v="7"/>
    <s v="Contract Negotiation"/>
    <s v="Yvette"/>
    <x v="20"/>
    <n v="35"/>
    <x v="1"/>
    <d v="2024-03-09T00:00:00"/>
    <n v="0"/>
    <x v="3"/>
  </r>
  <r>
    <x v="8"/>
    <s v="Technical Support"/>
    <s v="Zoe"/>
    <x v="0"/>
    <n v="25"/>
    <x v="1"/>
    <d v="2024-01-26T00:00:00"/>
    <n v="1"/>
    <x v="1"/>
  </r>
  <r>
    <x v="8"/>
    <s v="Bug Fixes"/>
    <s v="Aaron"/>
    <x v="21"/>
    <n v="31"/>
    <x v="1"/>
    <d v="2024-02-27T00:00:00"/>
    <n v="1"/>
    <x v="1"/>
  </r>
  <r>
    <x v="8"/>
    <s v="Software Updates"/>
    <s v="Bella"/>
    <x v="22"/>
    <n v="22"/>
    <x v="1"/>
    <d v="2024-03-24T00:00:00"/>
    <n v="0"/>
    <x v="3"/>
  </r>
  <r>
    <x v="9"/>
    <s v="Process Optimization"/>
    <s v="Calvin"/>
    <x v="17"/>
    <n v="30"/>
    <x v="1"/>
    <d v="2024-02-02T00:00:00"/>
    <n v="0.4"/>
    <x v="2"/>
  </r>
  <r>
    <x v="9"/>
    <s v="Inventory Management"/>
    <s v="Diane"/>
    <x v="20"/>
    <n v="25"/>
    <x v="1"/>
    <d v="2024-02-28T00:00:00"/>
    <n v="0"/>
    <x v="3"/>
  </r>
  <r>
    <x v="9"/>
    <s v="Facility Maintenance"/>
    <s v="Edward"/>
    <x v="23"/>
    <n v="20"/>
    <x v="0"/>
    <d v="2024-03-20T00:00:00"/>
    <n v="0"/>
    <x v="3"/>
  </r>
  <r>
    <x v="10"/>
    <s v="Strategic Planning"/>
    <s v="Fiona"/>
    <x v="4"/>
    <n v="35"/>
    <x v="1"/>
    <d v="2024-02-06T00:00:00"/>
    <n v="0.6"/>
    <x v="2"/>
  </r>
  <r>
    <x v="10"/>
    <s v="Market Expansion"/>
    <s v="Gary"/>
    <x v="10"/>
    <n v="32"/>
    <x v="1"/>
    <d v="2024-03-05T00:00:00"/>
    <n v="0"/>
    <x v="3"/>
  </r>
  <r>
    <x v="10"/>
    <s v="Client Advisory"/>
    <s v="Helen"/>
    <x v="24"/>
    <n v="25"/>
    <x v="1"/>
    <d v="2024-03-31T00:00:00"/>
    <n v="0"/>
    <x v="3"/>
  </r>
  <r>
    <x v="11"/>
    <s v="Employee Training"/>
    <s v="Isaac"/>
    <x v="25"/>
    <n v="27"/>
    <x v="1"/>
    <d v="2024-01-31T00:00:00"/>
    <n v="0.8"/>
    <x v="0"/>
  </r>
  <r>
    <x v="11"/>
    <s v="Certification Programs"/>
    <s v="Jane"/>
    <x v="2"/>
    <n v="30"/>
    <x v="1"/>
    <d v="2024-02-27T00:00:00"/>
    <n v="0"/>
    <x v="3"/>
  </r>
  <r>
    <x v="11"/>
    <s v="Skill Development"/>
    <s v="Kyle"/>
    <x v="14"/>
    <n v="22"/>
    <x v="1"/>
    <d v="2024-03-21T00:00:00"/>
    <n v="0"/>
    <x v="3"/>
  </r>
  <r>
    <x v="12"/>
    <s v="Event Planning"/>
    <s v="Laura"/>
    <x v="17"/>
    <n v="25"/>
    <x v="1"/>
    <d v="2024-01-28T00:00:00"/>
    <n v="0.3"/>
    <x v="3"/>
  </r>
  <r>
    <x v="12"/>
    <s v="Conference Management"/>
    <s v="Mike"/>
    <x v="20"/>
    <n v="20"/>
    <x v="0"/>
    <d v="2024-02-23T00:00:00"/>
    <n v="0"/>
    <x v="3"/>
  </r>
  <r>
    <x v="12"/>
    <s v="Sponsorship Coordinatio"/>
    <s v="Nancy"/>
    <x v="8"/>
    <n v="35"/>
    <x v="1"/>
    <d v="2024-03-30T00:00:00"/>
    <n v="0"/>
    <x v="3"/>
  </r>
  <r>
    <x v="13"/>
    <s v="Supply Chain Management"/>
    <s v="Oscar"/>
    <x v="17"/>
    <n v="25"/>
    <x v="1"/>
    <d v="2024-01-28T00:00:00"/>
    <n v="0.5"/>
    <x v="2"/>
  </r>
  <r>
    <x v="13"/>
    <s v="Transportation Planning"/>
    <s v="Patricia"/>
    <x v="26"/>
    <n v="30"/>
    <x v="1"/>
    <d v="2024-02-28T00:00:00"/>
    <n v="1"/>
    <x v="1"/>
  </r>
  <r>
    <x v="13"/>
    <s v="Inventory Optimization"/>
    <s v="Quentin"/>
    <x v="27"/>
    <n v="20"/>
    <x v="0"/>
    <d v="2024-04-18T00:00:00"/>
    <n v="0"/>
    <x v="3"/>
  </r>
  <r>
    <x v="14"/>
    <s v="Product Design"/>
    <s v="Rachel"/>
    <x v="4"/>
    <n v="25"/>
    <x v="1"/>
    <d v="2024-01-27T00:00:00"/>
    <n v="0.2"/>
    <x v="3"/>
  </r>
  <r>
    <x v="14"/>
    <s v="System Integration"/>
    <s v="Sam"/>
    <x v="10"/>
    <n v="22"/>
    <x v="1"/>
    <d v="2024-02-24T00:00:00"/>
    <n v="0"/>
    <x v="3"/>
  </r>
  <r>
    <x v="14"/>
    <s v="Prototype Testing"/>
    <s v="Tom"/>
    <x v="28"/>
    <n v="27"/>
    <x v="1"/>
    <d v="2024-03-21T00:00:00"/>
    <n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8C7CC9-F52D-4D33-95E3-43A2FE46DDA4}"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4:B58" firstHeaderRow="1" firstDataRow="1" firstDataCol="1"/>
  <pivotFields count="11">
    <pivotField showAll="0">
      <items count="16">
        <item x="10"/>
        <item x="2"/>
        <item x="5"/>
        <item x="14"/>
        <item x="12"/>
        <item x="3"/>
        <item x="13"/>
        <item x="0"/>
        <item x="9"/>
        <item x="1"/>
        <item x="6"/>
        <item x="4"/>
        <item x="7"/>
        <item x="8"/>
        <item x="11"/>
        <item t="default"/>
      </items>
    </pivotField>
    <pivotField showAll="0"/>
    <pivotField dataField="1" showAll="0"/>
    <pivotField numFmtId="14" showAll="0">
      <items count="30">
        <item x="0"/>
        <item x="4"/>
        <item x="17"/>
        <item x="25"/>
        <item x="19"/>
        <item x="1"/>
        <item x="5"/>
        <item x="13"/>
        <item x="21"/>
        <item x="2"/>
        <item x="26"/>
        <item x="7"/>
        <item x="10"/>
        <item x="20"/>
        <item x="6"/>
        <item x="15"/>
        <item x="11"/>
        <item x="18"/>
        <item x="3"/>
        <item x="28"/>
        <item x="8"/>
        <item x="14"/>
        <item x="23"/>
        <item x="22"/>
        <item x="24"/>
        <item x="16"/>
        <item x="12"/>
        <item x="9"/>
        <item x="27"/>
        <item t="default"/>
      </items>
    </pivotField>
    <pivotField showAll="0"/>
    <pivotField axis="axisRow" showAll="0">
      <items count="4">
        <item x="2"/>
        <item x="1"/>
        <item x="0"/>
        <item t="default"/>
      </items>
    </pivotField>
    <pivotField numFmtId="14" showAll="0"/>
    <pivotField numFmtId="9" showAll="0"/>
    <pivotField showAll="0">
      <items count="5">
        <item x="1"/>
        <item x="0"/>
        <item x="3"/>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4">
    <i>
      <x/>
    </i>
    <i>
      <x v="1"/>
    </i>
    <i>
      <x v="2"/>
    </i>
    <i t="grand">
      <x/>
    </i>
  </rowItems>
  <colItems count="1">
    <i/>
  </colItems>
  <dataFields count="1">
    <dataField name="Count of Assigned to" fld="2" subtotal="count" baseField="0" baseItem="0"/>
  </dataFields>
  <chartFormats count="10">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5" count="1" selected="0">
            <x v="0"/>
          </reference>
        </references>
      </pivotArea>
    </chartFormat>
    <chartFormat chart="4" format="3">
      <pivotArea type="data" outline="0" fieldPosition="0">
        <references count="2">
          <reference field="4294967294" count="1" selected="0">
            <x v="0"/>
          </reference>
          <reference field="5" count="1" selected="0">
            <x v="1"/>
          </reference>
        </references>
      </pivotArea>
    </chartFormat>
    <chartFormat chart="4" format="4">
      <pivotArea type="data" outline="0" fieldPosition="0">
        <references count="2">
          <reference field="4294967294" count="1" selected="0">
            <x v="0"/>
          </reference>
          <reference field="5" count="1" selected="0">
            <x v="2"/>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5" count="1" selected="0">
            <x v="0"/>
          </reference>
        </references>
      </pivotArea>
    </chartFormat>
    <chartFormat chart="5" format="7">
      <pivotArea type="data" outline="0" fieldPosition="0">
        <references count="2">
          <reference field="4294967294" count="1" selected="0">
            <x v="0"/>
          </reference>
          <reference field="5" count="1" selected="0">
            <x v="1"/>
          </reference>
        </references>
      </pivotArea>
    </chartFormat>
    <chartFormat chart="5"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F70C7C-6EBE-49ED-860C-AFC9E345135A}"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0:B45" firstHeaderRow="1" firstDataRow="1" firstDataCol="1"/>
  <pivotFields count="11">
    <pivotField showAll="0">
      <items count="16">
        <item x="10"/>
        <item x="2"/>
        <item x="5"/>
        <item x="14"/>
        <item x="12"/>
        <item x="3"/>
        <item x="13"/>
        <item x="0"/>
        <item x="9"/>
        <item x="1"/>
        <item x="6"/>
        <item x="4"/>
        <item x="7"/>
        <item x="8"/>
        <item x="11"/>
        <item t="default"/>
      </items>
    </pivotField>
    <pivotField showAll="0"/>
    <pivotField showAll="0"/>
    <pivotField numFmtId="14" showAll="0">
      <items count="30">
        <item x="0"/>
        <item x="4"/>
        <item x="17"/>
        <item x="25"/>
        <item x="19"/>
        <item x="1"/>
        <item x="5"/>
        <item x="13"/>
        <item x="21"/>
        <item x="2"/>
        <item x="26"/>
        <item x="7"/>
        <item x="10"/>
        <item x="20"/>
        <item x="6"/>
        <item x="15"/>
        <item x="11"/>
        <item x="18"/>
        <item x="3"/>
        <item x="28"/>
        <item x="8"/>
        <item x="14"/>
        <item x="23"/>
        <item x="22"/>
        <item x="24"/>
        <item x="16"/>
        <item x="12"/>
        <item x="9"/>
        <item x="27"/>
        <item t="default"/>
      </items>
    </pivotField>
    <pivotField showAll="0"/>
    <pivotField showAll="0"/>
    <pivotField numFmtId="14" showAll="0"/>
    <pivotField numFmtId="9" showAll="0"/>
    <pivotField axis="axisRow" dataField="1" showAll="0">
      <items count="5">
        <item x="1"/>
        <item x="0"/>
        <item x="3"/>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5">
    <i>
      <x/>
    </i>
    <i>
      <x v="1"/>
    </i>
    <i>
      <x v="2"/>
    </i>
    <i>
      <x v="3"/>
    </i>
    <i t="grand">
      <x/>
    </i>
  </rowItems>
  <colItems count="1">
    <i/>
  </colItems>
  <dataFields count="1">
    <dataField name="Count of Progress Brackets" fld="8" subtotal="count" baseField="0" baseItem="0"/>
  </dataField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8" count="1" selected="0">
            <x v="0"/>
          </reference>
        </references>
      </pivotArea>
    </chartFormat>
    <chartFormat chart="2" format="8">
      <pivotArea type="data" outline="0" fieldPosition="0">
        <references count="2">
          <reference field="4294967294" count="1" selected="0">
            <x v="0"/>
          </reference>
          <reference field="8" count="1" selected="0">
            <x v="1"/>
          </reference>
        </references>
      </pivotArea>
    </chartFormat>
    <chartFormat chart="2" format="9">
      <pivotArea type="data" outline="0" fieldPosition="0">
        <references count="2">
          <reference field="4294967294" count="1" selected="0">
            <x v="0"/>
          </reference>
          <reference field="8" count="1" selected="0">
            <x v="2"/>
          </reference>
        </references>
      </pivotArea>
    </chartFormat>
    <chartFormat chart="2"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2C6C14-43B1-4F28-947D-560B4608E7EF}"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1:B37" firstHeaderRow="1" firstDataRow="1" firstDataCol="1"/>
  <pivotFields count="11">
    <pivotField axis="axisRow" showAll="0">
      <items count="16">
        <item x="10"/>
        <item x="2"/>
        <item x="5"/>
        <item x="14"/>
        <item x="12"/>
        <item x="3"/>
        <item x="13"/>
        <item x="0"/>
        <item x="9"/>
        <item x="1"/>
        <item x="6"/>
        <item x="4"/>
        <item x="7"/>
        <item x="8"/>
        <item x="11"/>
        <item t="default"/>
      </items>
    </pivotField>
    <pivotField showAll="0"/>
    <pivotField showAll="0"/>
    <pivotField numFmtId="14" showAll="0">
      <items count="30">
        <item x="0"/>
        <item x="4"/>
        <item x="17"/>
        <item x="25"/>
        <item x="19"/>
        <item x="1"/>
        <item x="5"/>
        <item x="13"/>
        <item x="21"/>
        <item x="2"/>
        <item x="26"/>
        <item x="7"/>
        <item x="10"/>
        <item x="20"/>
        <item x="6"/>
        <item x="15"/>
        <item x="11"/>
        <item x="18"/>
        <item x="3"/>
        <item x="28"/>
        <item x="8"/>
        <item x="14"/>
        <item x="23"/>
        <item x="22"/>
        <item x="24"/>
        <item x="16"/>
        <item x="12"/>
        <item x="9"/>
        <item x="27"/>
        <item t="default"/>
      </items>
    </pivotField>
    <pivotField showAll="0"/>
    <pivotField showAll="0"/>
    <pivotField numFmtId="14" showAll="0"/>
    <pivotField dataField="1" numFmtId="9" showAll="0"/>
    <pivotField showAll="0">
      <items count="5">
        <item x="1"/>
        <item x="0"/>
        <item x="3"/>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Average of Progress" fld="7" subtotal="average" baseField="0" baseItem="6" numFmtId="9"/>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5FB3AB-68F1-4833-B5FF-B74C24793E92}"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17" firstHeaderRow="1" firstDataRow="1" firstDataCol="1"/>
  <pivotFields count="11">
    <pivotField axis="axisRow" showAll="0">
      <items count="16">
        <item x="10"/>
        <item x="2"/>
        <item x="5"/>
        <item x="14"/>
        <item x="12"/>
        <item x="3"/>
        <item x="13"/>
        <item x="0"/>
        <item x="9"/>
        <item x="1"/>
        <item x="6"/>
        <item x="4"/>
        <item x="7"/>
        <item x="8"/>
        <item x="11"/>
        <item t="default"/>
      </items>
    </pivotField>
    <pivotField showAll="0"/>
    <pivotField dataField="1" showAll="0"/>
    <pivotField numFmtId="14" showAll="0">
      <items count="30">
        <item x="0"/>
        <item x="4"/>
        <item x="17"/>
        <item x="25"/>
        <item x="19"/>
        <item x="1"/>
        <item x="5"/>
        <item x="13"/>
        <item x="21"/>
        <item x="2"/>
        <item x="26"/>
        <item x="7"/>
        <item x="10"/>
        <item x="20"/>
        <item x="6"/>
        <item x="15"/>
        <item x="11"/>
        <item x="18"/>
        <item x="3"/>
        <item x="28"/>
        <item x="8"/>
        <item x="14"/>
        <item x="23"/>
        <item x="22"/>
        <item x="24"/>
        <item x="16"/>
        <item x="12"/>
        <item x="9"/>
        <item x="27"/>
        <item t="default"/>
      </items>
    </pivotField>
    <pivotField showAll="0"/>
    <pivotField showAll="0">
      <items count="4">
        <item x="2"/>
        <item x="1"/>
        <item x="0"/>
        <item t="default"/>
      </items>
    </pivotField>
    <pivotField numFmtId="14" showAll="0"/>
    <pivotField numFmtId="9" showAll="0"/>
    <pivotField showAll="0">
      <items count="5">
        <item x="1"/>
        <item x="0"/>
        <item x="3"/>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Count of Assigned to" fld="2"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_Name" xr10:uid="{3DDA0C39-0CE7-409E-BD46-19215D6B4365}" sourceName="Project Name">
  <pivotTables>
    <pivotTable tabId="4" name="PivotTable1"/>
    <pivotTable tabId="4" name="PivotTable2"/>
    <pivotTable tabId="4" name="PivotTable3"/>
    <pivotTable tabId="4" name="PivotTable4"/>
  </pivotTables>
  <data>
    <tabular pivotCacheId="806218659">
      <items count="15">
        <i x="10" s="1"/>
        <i x="2" s="1"/>
        <i x="5" s="1"/>
        <i x="14" s="1"/>
        <i x="12" s="1"/>
        <i x="3" s="1"/>
        <i x="13" s="1"/>
        <i x="0" s="1"/>
        <i x="9" s="1"/>
        <i x="1" s="1"/>
        <i x="6" s="1"/>
        <i x="4" s="1"/>
        <i x="7" s="1"/>
        <i x="8"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Required_Brackets" xr10:uid="{D4ABE828-2B72-4490-AF73-C10EE1736DE0}" sourceName="Day Required Brackets">
  <pivotTables>
    <pivotTable tabId="4" name="PivotTable1"/>
  </pivotTables>
  <data>
    <tabular pivotCacheId="80621865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gress_Brackets" xr10:uid="{C6CC3427-25E6-4E1E-949C-3C67B6AB2A7A}" sourceName="Progress Brackets">
  <pivotTables>
    <pivotTable tabId="4" name="PivotTable1"/>
  </pivotTables>
  <data>
    <tabular pivotCacheId="806218659">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ject Name" xr10:uid="{57B89631-0B52-412F-8C3E-36E20638DDD7}" cache="Slicer_Project_Name" caption="Project Name" rowHeight="257175"/>
  <slicer name="Day Required Brackets" xr10:uid="{EAE99A83-5222-4EDC-9F60-7B1143AAA6EB}" cache="Slicer_Day_Required_Brackets" caption="Day Required Brackets" rowHeight="257175"/>
  <slicer name="Progress Brackets" xr10:uid="{0C208643-1AB2-44C8-803A-E75BB04E4069}" cache="Slicer_Progress_Brackets" caption="Progress Brackets"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7BEC1-BD91-4F4F-8985-8014BC582418}">
  <dimension ref="B2:H52"/>
  <sheetViews>
    <sheetView showGridLines="0" workbookViewId="0">
      <selection activeCell="K36" sqref="K36"/>
    </sheetView>
  </sheetViews>
  <sheetFormatPr defaultColWidth="9.140625" defaultRowHeight="18" customHeight="1" x14ac:dyDescent="0.25"/>
  <cols>
    <col min="1" max="1" width="4.28515625" style="2" customWidth="1"/>
    <col min="2" max="2" width="15.5703125" style="2" customWidth="1"/>
    <col min="3" max="3" width="25" style="2" bestFit="1" customWidth="1"/>
    <col min="4" max="4" width="13.42578125" style="2" customWidth="1"/>
    <col min="5" max="5" width="13.5703125" style="2" customWidth="1"/>
    <col min="6" max="6" width="15.5703125" style="2" customWidth="1"/>
    <col min="7" max="7" width="16.5703125" style="2" customWidth="1"/>
    <col min="8" max="8" width="17" style="2" customWidth="1"/>
    <col min="9" max="16384" width="9.140625" style="2"/>
  </cols>
  <sheetData>
    <row r="2" spans="2:8" ht="18" customHeight="1" thickBot="1" x14ac:dyDescent="0.3">
      <c r="B2" s="1" t="s">
        <v>0</v>
      </c>
      <c r="C2" s="1"/>
      <c r="D2" s="1"/>
      <c r="E2" s="1"/>
      <c r="F2" s="1"/>
      <c r="G2" s="1"/>
      <c r="H2" s="1"/>
    </row>
    <row r="4" spans="2:8" ht="18" customHeight="1" thickBot="1" x14ac:dyDescent="0.3">
      <c r="B4" s="3" t="s">
        <v>1</v>
      </c>
      <c r="C4" s="1"/>
      <c r="D4" s="1"/>
      <c r="E4" s="1"/>
      <c r="F4" s="1"/>
      <c r="G4" s="1"/>
      <c r="H4" s="1"/>
    </row>
    <row r="6" spans="2:8" ht="18" customHeight="1" x14ac:dyDescent="0.25">
      <c r="B6" s="4" t="s">
        <v>2</v>
      </c>
      <c r="C6" s="4" t="s">
        <v>3</v>
      </c>
      <c r="D6" s="4" t="s">
        <v>4</v>
      </c>
      <c r="E6" s="4" t="s">
        <v>5</v>
      </c>
      <c r="F6" s="4" t="s">
        <v>6</v>
      </c>
      <c r="G6" s="4" t="s">
        <v>7</v>
      </c>
      <c r="H6" s="4" t="s">
        <v>8</v>
      </c>
    </row>
    <row r="7" spans="2:8" ht="18" customHeight="1" x14ac:dyDescent="0.25">
      <c r="B7" s="5" t="s">
        <v>9</v>
      </c>
      <c r="C7" s="5" t="s">
        <v>10</v>
      </c>
      <c r="D7" s="5" t="s">
        <v>11</v>
      </c>
      <c r="E7" s="6">
        <v>45292</v>
      </c>
      <c r="F7" s="5">
        <v>13</v>
      </c>
      <c r="G7" s="6">
        <v>45305</v>
      </c>
      <c r="H7" s="7">
        <v>0.78</v>
      </c>
    </row>
    <row r="8" spans="2:8" ht="18" customHeight="1" x14ac:dyDescent="0.25">
      <c r="B8" s="5" t="s">
        <v>9</v>
      </c>
      <c r="C8" s="5" t="s">
        <v>12</v>
      </c>
      <c r="D8" s="5" t="s">
        <v>13</v>
      </c>
      <c r="E8" s="6">
        <v>45305</v>
      </c>
      <c r="F8" s="5">
        <v>14</v>
      </c>
      <c r="G8" s="6">
        <v>45319</v>
      </c>
      <c r="H8" s="7">
        <v>1</v>
      </c>
    </row>
    <row r="9" spans="2:8" ht="18" customHeight="1" x14ac:dyDescent="0.25">
      <c r="B9" s="5" t="s">
        <v>9</v>
      </c>
      <c r="C9" s="5" t="s">
        <v>14</v>
      </c>
      <c r="D9" s="5" t="s">
        <v>15</v>
      </c>
      <c r="E9" s="6">
        <v>45319</v>
      </c>
      <c r="F9" s="5">
        <v>22</v>
      </c>
      <c r="G9" s="6">
        <v>45341</v>
      </c>
      <c r="H9" s="7">
        <v>0.45</v>
      </c>
    </row>
    <row r="10" spans="2:8" ht="18" customHeight="1" x14ac:dyDescent="0.25">
      <c r="B10" s="5" t="s">
        <v>9</v>
      </c>
      <c r="C10" s="5" t="s">
        <v>16</v>
      </c>
      <c r="D10" s="5" t="s">
        <v>17</v>
      </c>
      <c r="E10" s="6">
        <v>45340</v>
      </c>
      <c r="F10" s="5">
        <v>25</v>
      </c>
      <c r="G10" s="6">
        <v>45365</v>
      </c>
      <c r="H10" s="7">
        <v>0</v>
      </c>
    </row>
    <row r="11" spans="2:8" ht="18" customHeight="1" x14ac:dyDescent="0.25">
      <c r="B11" s="5" t="s">
        <v>18</v>
      </c>
      <c r="C11" s="5" t="s">
        <v>19</v>
      </c>
      <c r="D11" s="5" t="s">
        <v>20</v>
      </c>
      <c r="E11" s="6">
        <v>45293</v>
      </c>
      <c r="F11" s="5">
        <v>18</v>
      </c>
      <c r="G11" s="6">
        <v>45311</v>
      </c>
      <c r="H11" s="7">
        <v>1</v>
      </c>
    </row>
    <row r="12" spans="2:8" ht="18" customHeight="1" x14ac:dyDescent="0.25">
      <c r="B12" s="5" t="s">
        <v>18</v>
      </c>
      <c r="C12" s="5" t="s">
        <v>21</v>
      </c>
      <c r="D12" s="5" t="s">
        <v>22</v>
      </c>
      <c r="E12" s="6">
        <v>45311</v>
      </c>
      <c r="F12" s="5">
        <v>10</v>
      </c>
      <c r="G12" s="6">
        <v>45321</v>
      </c>
      <c r="H12" s="7">
        <v>0.78</v>
      </c>
    </row>
    <row r="13" spans="2:8" ht="18" customHeight="1" x14ac:dyDescent="0.25">
      <c r="B13" s="5" t="s">
        <v>18</v>
      </c>
      <c r="C13" s="5" t="s">
        <v>23</v>
      </c>
      <c r="D13" s="5" t="s">
        <v>24</v>
      </c>
      <c r="E13" s="6">
        <v>45326</v>
      </c>
      <c r="F13" s="5">
        <v>25</v>
      </c>
      <c r="G13" s="6">
        <v>45351</v>
      </c>
      <c r="H13" s="7">
        <v>0</v>
      </c>
    </row>
    <row r="14" spans="2:8" ht="18" customHeight="1" x14ac:dyDescent="0.25">
      <c r="B14" s="5" t="s">
        <v>25</v>
      </c>
      <c r="C14" s="5" t="s">
        <v>26</v>
      </c>
      <c r="D14" s="5" t="s">
        <v>27</v>
      </c>
      <c r="E14" s="6">
        <v>45323</v>
      </c>
      <c r="F14" s="5">
        <v>22</v>
      </c>
      <c r="G14" s="6">
        <v>45345</v>
      </c>
      <c r="H14" s="7">
        <v>1</v>
      </c>
    </row>
    <row r="15" spans="2:8" ht="18" customHeight="1" x14ac:dyDescent="0.25">
      <c r="B15" s="5" t="s">
        <v>25</v>
      </c>
      <c r="C15" s="5" t="s">
        <v>28</v>
      </c>
      <c r="D15" s="5" t="s">
        <v>29</v>
      </c>
      <c r="E15" s="6">
        <v>45346</v>
      </c>
      <c r="F15" s="5">
        <v>25</v>
      </c>
      <c r="G15" s="6">
        <v>45371</v>
      </c>
      <c r="H15" s="7">
        <v>1</v>
      </c>
    </row>
    <row r="16" spans="2:8" ht="18" customHeight="1" x14ac:dyDescent="0.25">
      <c r="B16" s="5" t="s">
        <v>25</v>
      </c>
      <c r="C16" s="5" t="s">
        <v>30</v>
      </c>
      <c r="D16" s="5" t="s">
        <v>31</v>
      </c>
      <c r="E16" s="6">
        <v>45372</v>
      </c>
      <c r="F16" s="5">
        <v>30</v>
      </c>
      <c r="G16" s="6">
        <v>45402</v>
      </c>
      <c r="H16" s="7">
        <v>0</v>
      </c>
    </row>
    <row r="17" spans="2:8" ht="18" customHeight="1" x14ac:dyDescent="0.25">
      <c r="B17" s="5" t="s">
        <v>32</v>
      </c>
      <c r="C17" s="5" t="s">
        <v>33</v>
      </c>
      <c r="D17" s="5" t="s">
        <v>34</v>
      </c>
      <c r="E17" s="6">
        <v>45324</v>
      </c>
      <c r="F17" s="5">
        <v>22</v>
      </c>
      <c r="G17" s="6">
        <v>45346</v>
      </c>
      <c r="H17" s="7">
        <v>0.1</v>
      </c>
    </row>
    <row r="18" spans="2:8" ht="18" customHeight="1" x14ac:dyDescent="0.25">
      <c r="B18" s="5" t="s">
        <v>32</v>
      </c>
      <c r="C18" s="5" t="s">
        <v>35</v>
      </c>
      <c r="D18" s="5" t="s">
        <v>36</v>
      </c>
      <c r="E18" s="6">
        <v>45335</v>
      </c>
      <c r="F18" s="5">
        <v>21</v>
      </c>
      <c r="G18" s="6">
        <v>45331</v>
      </c>
      <c r="H18" s="7">
        <v>0.78</v>
      </c>
    </row>
    <row r="19" spans="2:8" ht="18" customHeight="1" x14ac:dyDescent="0.25">
      <c r="B19" s="5" t="s">
        <v>32</v>
      </c>
      <c r="C19" s="5" t="s">
        <v>37</v>
      </c>
      <c r="D19" s="5" t="s">
        <v>36</v>
      </c>
      <c r="E19" s="6">
        <v>45370</v>
      </c>
      <c r="F19" s="5">
        <v>25</v>
      </c>
      <c r="G19" s="6">
        <v>45395</v>
      </c>
      <c r="H19" s="7">
        <v>1</v>
      </c>
    </row>
    <row r="20" spans="2:8" ht="18" customHeight="1" x14ac:dyDescent="0.25">
      <c r="B20" s="5" t="s">
        <v>38</v>
      </c>
      <c r="C20" s="5" t="s">
        <v>39</v>
      </c>
      <c r="D20" s="5" t="s">
        <v>40</v>
      </c>
      <c r="E20" s="6">
        <v>45293</v>
      </c>
      <c r="F20" s="5">
        <v>23</v>
      </c>
      <c r="G20" s="6">
        <v>45316</v>
      </c>
      <c r="H20" s="7">
        <v>0.5</v>
      </c>
    </row>
    <row r="21" spans="2:8" ht="18" customHeight="1" x14ac:dyDescent="0.25">
      <c r="B21" s="5" t="s">
        <v>38</v>
      </c>
      <c r="C21" s="5" t="s">
        <v>41</v>
      </c>
      <c r="D21" s="5" t="s">
        <v>42</v>
      </c>
      <c r="E21" s="6">
        <v>45317</v>
      </c>
      <c r="F21" s="5">
        <v>32</v>
      </c>
      <c r="G21" s="6">
        <v>45349</v>
      </c>
      <c r="H21" s="7">
        <v>0</v>
      </c>
    </row>
    <row r="22" spans="2:8" ht="18" customHeight="1" x14ac:dyDescent="0.25">
      <c r="B22" s="5" t="s">
        <v>38</v>
      </c>
      <c r="C22" s="5" t="s">
        <v>43</v>
      </c>
      <c r="D22" s="5" t="s">
        <v>44</v>
      </c>
      <c r="E22" s="6">
        <v>45350</v>
      </c>
      <c r="F22" s="5">
        <v>27</v>
      </c>
      <c r="G22" s="6">
        <v>45377</v>
      </c>
      <c r="H22" s="7">
        <v>0</v>
      </c>
    </row>
    <row r="23" spans="2:8" ht="18" customHeight="1" x14ac:dyDescent="0.25">
      <c r="B23" s="5" t="s">
        <v>45</v>
      </c>
      <c r="C23" s="5" t="s">
        <v>46</v>
      </c>
      <c r="D23" s="5" t="s">
        <v>47</v>
      </c>
      <c r="E23" s="6">
        <v>45293</v>
      </c>
      <c r="F23" s="5">
        <v>36</v>
      </c>
      <c r="G23" s="6">
        <v>45329</v>
      </c>
      <c r="H23" s="7">
        <v>1</v>
      </c>
    </row>
    <row r="24" spans="2:8" ht="18" customHeight="1" x14ac:dyDescent="0.25">
      <c r="B24" s="5" t="s">
        <v>45</v>
      </c>
      <c r="C24" s="5" t="s">
        <v>48</v>
      </c>
      <c r="D24" s="5" t="s">
        <v>49</v>
      </c>
      <c r="E24" s="6">
        <v>45330</v>
      </c>
      <c r="F24" s="5">
        <v>34</v>
      </c>
      <c r="G24" s="6">
        <v>45364</v>
      </c>
      <c r="H24" s="7">
        <v>0</v>
      </c>
    </row>
    <row r="25" spans="2:8" ht="18" customHeight="1" x14ac:dyDescent="0.25">
      <c r="B25" s="5" t="s">
        <v>45</v>
      </c>
      <c r="C25" s="5" t="s">
        <v>50</v>
      </c>
      <c r="D25" s="5" t="s">
        <v>51</v>
      </c>
      <c r="E25" s="6">
        <v>45365</v>
      </c>
      <c r="F25" s="5">
        <v>30</v>
      </c>
      <c r="G25" s="6">
        <v>45395</v>
      </c>
      <c r="H25" s="7">
        <v>0</v>
      </c>
    </row>
    <row r="26" spans="2:8" ht="18" customHeight="1" x14ac:dyDescent="0.25">
      <c r="B26" s="5" t="s">
        <v>52</v>
      </c>
      <c r="C26" s="5" t="s">
        <v>53</v>
      </c>
      <c r="D26" s="5" t="s">
        <v>54</v>
      </c>
      <c r="E26" s="6">
        <v>45294</v>
      </c>
      <c r="F26" s="5">
        <v>47</v>
      </c>
      <c r="G26" s="6">
        <v>45341</v>
      </c>
      <c r="H26" s="7">
        <v>0.3</v>
      </c>
    </row>
    <row r="27" spans="2:8" ht="18" customHeight="1" x14ac:dyDescent="0.25">
      <c r="B27" s="5" t="s">
        <v>52</v>
      </c>
      <c r="C27" s="5" t="s">
        <v>55</v>
      </c>
      <c r="D27" s="5" t="s">
        <v>56</v>
      </c>
      <c r="E27" s="6">
        <v>45339</v>
      </c>
      <c r="F27" s="5">
        <v>27</v>
      </c>
      <c r="G27" s="6">
        <v>45366</v>
      </c>
      <c r="H27" s="7">
        <v>0</v>
      </c>
    </row>
    <row r="28" spans="2:8" ht="18" customHeight="1" x14ac:dyDescent="0.25">
      <c r="B28" s="5" t="s">
        <v>52</v>
      </c>
      <c r="C28" s="5" t="s">
        <v>57</v>
      </c>
      <c r="D28" s="5" t="s">
        <v>58</v>
      </c>
      <c r="E28" s="6">
        <v>45365</v>
      </c>
      <c r="F28" s="5">
        <v>22</v>
      </c>
      <c r="G28" s="6">
        <v>45387</v>
      </c>
      <c r="H28" s="7">
        <v>0</v>
      </c>
    </row>
    <row r="29" spans="2:8" ht="18" customHeight="1" x14ac:dyDescent="0.25">
      <c r="B29" s="5" t="s">
        <v>59</v>
      </c>
      <c r="C29" s="5" t="s">
        <v>60</v>
      </c>
      <c r="D29" s="5" t="s">
        <v>61</v>
      </c>
      <c r="E29" s="6">
        <v>45294</v>
      </c>
      <c r="F29" s="5">
        <v>60</v>
      </c>
      <c r="G29" s="6">
        <v>45354</v>
      </c>
      <c r="H29" s="7">
        <v>0.7</v>
      </c>
    </row>
    <row r="30" spans="2:8" ht="18" customHeight="1" x14ac:dyDescent="0.25">
      <c r="B30" s="5" t="s">
        <v>59</v>
      </c>
      <c r="C30" s="5" t="s">
        <v>62</v>
      </c>
      <c r="D30" s="5" t="s">
        <v>63</v>
      </c>
      <c r="E30" s="6">
        <v>45297</v>
      </c>
      <c r="F30" s="5">
        <v>20</v>
      </c>
      <c r="G30" s="6">
        <v>45317</v>
      </c>
      <c r="H30" s="7">
        <v>0.78</v>
      </c>
    </row>
    <row r="31" spans="2:8" ht="18" customHeight="1" x14ac:dyDescent="0.25">
      <c r="B31" s="5" t="s">
        <v>59</v>
      </c>
      <c r="C31" s="5" t="s">
        <v>64</v>
      </c>
      <c r="D31" s="5" t="s">
        <v>65</v>
      </c>
      <c r="E31" s="6">
        <v>45325</v>
      </c>
      <c r="F31" s="5">
        <v>35</v>
      </c>
      <c r="G31" s="6">
        <v>45360</v>
      </c>
      <c r="H31" s="7">
        <v>0</v>
      </c>
    </row>
    <row r="32" spans="2:8" ht="18" customHeight="1" x14ac:dyDescent="0.25">
      <c r="B32" s="5" t="s">
        <v>66</v>
      </c>
      <c r="C32" s="5" t="s">
        <v>67</v>
      </c>
      <c r="D32" s="5" t="s">
        <v>68</v>
      </c>
      <c r="E32" s="6">
        <v>45292</v>
      </c>
      <c r="F32" s="5">
        <v>25</v>
      </c>
      <c r="G32" s="6">
        <v>45317</v>
      </c>
      <c r="H32" s="7">
        <v>1</v>
      </c>
    </row>
    <row r="33" spans="2:8" ht="18" customHeight="1" x14ac:dyDescent="0.25">
      <c r="B33" s="5" t="s">
        <v>66</v>
      </c>
      <c r="C33" s="5" t="s">
        <v>69</v>
      </c>
      <c r="D33" s="5" t="s">
        <v>70</v>
      </c>
      <c r="E33" s="6">
        <v>45318</v>
      </c>
      <c r="F33" s="5">
        <v>31</v>
      </c>
      <c r="G33" s="6">
        <v>45349</v>
      </c>
      <c r="H33" s="7">
        <v>1</v>
      </c>
    </row>
    <row r="34" spans="2:8" ht="18" customHeight="1" x14ac:dyDescent="0.25">
      <c r="B34" s="5" t="s">
        <v>66</v>
      </c>
      <c r="C34" s="5" t="s">
        <v>71</v>
      </c>
      <c r="D34" s="5" t="s">
        <v>72</v>
      </c>
      <c r="E34" s="6">
        <v>45353</v>
      </c>
      <c r="F34" s="5">
        <v>22</v>
      </c>
      <c r="G34" s="6">
        <v>45375</v>
      </c>
      <c r="H34" s="7">
        <v>0</v>
      </c>
    </row>
    <row r="35" spans="2:8" ht="18" customHeight="1" x14ac:dyDescent="0.25">
      <c r="B35" s="5" t="s">
        <v>73</v>
      </c>
      <c r="C35" s="5" t="s">
        <v>74</v>
      </c>
      <c r="D35" s="5" t="s">
        <v>75</v>
      </c>
      <c r="E35" s="6">
        <v>45294</v>
      </c>
      <c r="F35" s="5">
        <v>30</v>
      </c>
      <c r="G35" s="6">
        <v>45324</v>
      </c>
      <c r="H35" s="7">
        <v>0.4</v>
      </c>
    </row>
    <row r="36" spans="2:8" ht="18" customHeight="1" x14ac:dyDescent="0.25">
      <c r="B36" s="5" t="s">
        <v>73</v>
      </c>
      <c r="C36" s="5" t="s">
        <v>76</v>
      </c>
      <c r="D36" s="5" t="s">
        <v>77</v>
      </c>
      <c r="E36" s="6">
        <v>45325</v>
      </c>
      <c r="F36" s="5">
        <v>25</v>
      </c>
      <c r="G36" s="6">
        <v>45350</v>
      </c>
      <c r="H36" s="7">
        <v>0</v>
      </c>
    </row>
    <row r="37" spans="2:8" ht="18" customHeight="1" x14ac:dyDescent="0.25">
      <c r="B37" s="5" t="s">
        <v>73</v>
      </c>
      <c r="C37" s="5" t="s">
        <v>78</v>
      </c>
      <c r="D37" s="5" t="s">
        <v>79</v>
      </c>
      <c r="E37" s="6">
        <v>45351</v>
      </c>
      <c r="F37" s="5">
        <v>20</v>
      </c>
      <c r="G37" s="6">
        <v>45371</v>
      </c>
      <c r="H37" s="7">
        <v>0</v>
      </c>
    </row>
    <row r="38" spans="2:8" ht="18" customHeight="1" x14ac:dyDescent="0.25">
      <c r="B38" s="5" t="s">
        <v>80</v>
      </c>
      <c r="C38" s="5" t="s">
        <v>81</v>
      </c>
      <c r="D38" s="5" t="s">
        <v>22</v>
      </c>
      <c r="E38" s="6">
        <v>45293</v>
      </c>
      <c r="F38" s="5">
        <v>35</v>
      </c>
      <c r="G38" s="6">
        <v>45328</v>
      </c>
      <c r="H38" s="7">
        <v>0.6</v>
      </c>
    </row>
    <row r="39" spans="2:8" ht="18" customHeight="1" x14ac:dyDescent="0.25">
      <c r="B39" s="5" t="s">
        <v>80</v>
      </c>
      <c r="C39" s="5" t="s">
        <v>82</v>
      </c>
      <c r="D39" s="5" t="s">
        <v>83</v>
      </c>
      <c r="E39" s="6">
        <v>45324</v>
      </c>
      <c r="F39" s="5">
        <v>32</v>
      </c>
      <c r="G39" s="6">
        <v>45356</v>
      </c>
      <c r="H39" s="7">
        <v>0</v>
      </c>
    </row>
    <row r="40" spans="2:8" ht="18" customHeight="1" x14ac:dyDescent="0.25">
      <c r="B40" s="5" t="s">
        <v>80</v>
      </c>
      <c r="C40" s="5" t="s">
        <v>84</v>
      </c>
      <c r="D40" s="5" t="s">
        <v>85</v>
      </c>
      <c r="E40" s="6">
        <v>45357</v>
      </c>
      <c r="F40" s="5">
        <v>25</v>
      </c>
      <c r="G40" s="6">
        <v>45382</v>
      </c>
      <c r="H40" s="7">
        <v>0</v>
      </c>
    </row>
    <row r="41" spans="2:8" ht="18" customHeight="1" x14ac:dyDescent="0.25">
      <c r="B41" s="5" t="s">
        <v>86</v>
      </c>
      <c r="C41" s="5" t="s">
        <v>87</v>
      </c>
      <c r="D41" s="5" t="s">
        <v>88</v>
      </c>
      <c r="E41" s="6">
        <v>45295</v>
      </c>
      <c r="F41" s="5">
        <v>27</v>
      </c>
      <c r="G41" s="6">
        <v>45322</v>
      </c>
      <c r="H41" s="7">
        <v>0.8</v>
      </c>
    </row>
    <row r="42" spans="2:8" ht="18" customHeight="1" x14ac:dyDescent="0.25">
      <c r="B42" s="5" t="s">
        <v>86</v>
      </c>
      <c r="C42" s="5" t="s">
        <v>89</v>
      </c>
      <c r="D42" s="5" t="s">
        <v>90</v>
      </c>
      <c r="E42" s="6">
        <v>45319</v>
      </c>
      <c r="F42" s="5">
        <v>30</v>
      </c>
      <c r="G42" s="6">
        <v>45349</v>
      </c>
      <c r="H42" s="7">
        <v>0</v>
      </c>
    </row>
    <row r="43" spans="2:8" ht="18" customHeight="1" x14ac:dyDescent="0.25">
      <c r="B43" s="5" t="s">
        <v>86</v>
      </c>
      <c r="C43" s="5" t="s">
        <v>91</v>
      </c>
      <c r="D43" s="5" t="s">
        <v>92</v>
      </c>
      <c r="E43" s="6">
        <v>45350</v>
      </c>
      <c r="F43" s="5">
        <v>22</v>
      </c>
      <c r="G43" s="6">
        <v>45372</v>
      </c>
      <c r="H43" s="7">
        <v>0</v>
      </c>
    </row>
    <row r="44" spans="2:8" ht="18" customHeight="1" x14ac:dyDescent="0.25">
      <c r="B44" s="5" t="s">
        <v>93</v>
      </c>
      <c r="C44" s="5" t="s">
        <v>94</v>
      </c>
      <c r="D44" s="5" t="s">
        <v>95</v>
      </c>
      <c r="E44" s="6">
        <v>45294</v>
      </c>
      <c r="F44" s="5">
        <v>25</v>
      </c>
      <c r="G44" s="6">
        <v>45319</v>
      </c>
      <c r="H44" s="7">
        <v>0.3</v>
      </c>
    </row>
    <row r="45" spans="2:8" ht="18" customHeight="1" x14ac:dyDescent="0.25">
      <c r="B45" s="5" t="s">
        <v>93</v>
      </c>
      <c r="C45" s="5" t="s">
        <v>96</v>
      </c>
      <c r="D45" s="5" t="s">
        <v>97</v>
      </c>
      <c r="E45" s="6">
        <v>45325</v>
      </c>
      <c r="F45" s="5">
        <v>20</v>
      </c>
      <c r="G45" s="6">
        <v>45345</v>
      </c>
      <c r="H45" s="7">
        <v>0</v>
      </c>
    </row>
    <row r="46" spans="2:8" ht="18" customHeight="1" x14ac:dyDescent="0.25">
      <c r="B46" s="5" t="s">
        <v>93</v>
      </c>
      <c r="C46" s="5" t="s">
        <v>98</v>
      </c>
      <c r="D46" s="5" t="s">
        <v>99</v>
      </c>
      <c r="E46" s="6">
        <v>45346</v>
      </c>
      <c r="F46" s="5">
        <v>35</v>
      </c>
      <c r="G46" s="6">
        <v>45381</v>
      </c>
      <c r="H46" s="7">
        <v>0</v>
      </c>
    </row>
    <row r="47" spans="2:8" ht="18" customHeight="1" x14ac:dyDescent="0.25">
      <c r="B47" s="5" t="s">
        <v>100</v>
      </c>
      <c r="C47" s="5" t="s">
        <v>101</v>
      </c>
      <c r="D47" s="5" t="s">
        <v>102</v>
      </c>
      <c r="E47" s="6">
        <v>45294</v>
      </c>
      <c r="F47" s="5">
        <v>25</v>
      </c>
      <c r="G47" s="6">
        <v>45319</v>
      </c>
      <c r="H47" s="7">
        <v>0.5</v>
      </c>
    </row>
    <row r="48" spans="2:8" ht="18" customHeight="1" x14ac:dyDescent="0.25">
      <c r="B48" s="5" t="s">
        <v>100</v>
      </c>
      <c r="C48" s="5" t="s">
        <v>103</v>
      </c>
      <c r="D48" s="5" t="s">
        <v>104</v>
      </c>
      <c r="E48" s="6">
        <v>45320</v>
      </c>
      <c r="F48" s="5">
        <v>30</v>
      </c>
      <c r="G48" s="6">
        <v>45350</v>
      </c>
      <c r="H48" s="7">
        <v>1</v>
      </c>
    </row>
    <row r="49" spans="2:8" ht="18" customHeight="1" x14ac:dyDescent="0.25">
      <c r="B49" s="5" t="s">
        <v>100</v>
      </c>
      <c r="C49" s="5" t="s">
        <v>105</v>
      </c>
      <c r="D49" s="5" t="s">
        <v>106</v>
      </c>
      <c r="E49" s="6">
        <v>45380</v>
      </c>
      <c r="F49" s="5">
        <v>20</v>
      </c>
      <c r="G49" s="6">
        <v>45400</v>
      </c>
      <c r="H49" s="7">
        <v>0</v>
      </c>
    </row>
    <row r="50" spans="2:8" ht="18" customHeight="1" x14ac:dyDescent="0.25">
      <c r="B50" s="5" t="s">
        <v>107</v>
      </c>
      <c r="C50" s="5" t="s">
        <v>108</v>
      </c>
      <c r="D50" s="5" t="s">
        <v>49</v>
      </c>
      <c r="E50" s="6">
        <v>45293</v>
      </c>
      <c r="F50" s="5">
        <v>25</v>
      </c>
      <c r="G50" s="6">
        <v>45318</v>
      </c>
      <c r="H50" s="7">
        <v>0.2</v>
      </c>
    </row>
    <row r="51" spans="2:8" ht="18" customHeight="1" x14ac:dyDescent="0.25">
      <c r="B51" s="5" t="s">
        <v>107</v>
      </c>
      <c r="C51" s="5" t="s">
        <v>109</v>
      </c>
      <c r="D51" s="5" t="s">
        <v>51</v>
      </c>
      <c r="E51" s="6">
        <v>45324</v>
      </c>
      <c r="F51" s="5">
        <v>22</v>
      </c>
      <c r="G51" s="6">
        <v>45346</v>
      </c>
      <c r="H51" s="7">
        <v>0</v>
      </c>
    </row>
    <row r="52" spans="2:8" ht="18" customHeight="1" x14ac:dyDescent="0.25">
      <c r="B52" s="5" t="s">
        <v>107</v>
      </c>
      <c r="C52" s="5" t="s">
        <v>110</v>
      </c>
      <c r="D52" s="5" t="s">
        <v>111</v>
      </c>
      <c r="E52" s="6">
        <v>45345</v>
      </c>
      <c r="F52" s="5">
        <v>27</v>
      </c>
      <c r="G52" s="6">
        <v>45372</v>
      </c>
      <c r="H52" s="7">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907FA-59B5-420C-BED6-8861E82059FF}">
  <dimension ref="A1:I47"/>
  <sheetViews>
    <sheetView workbookViewId="0">
      <selection activeCell="D8" sqref="D8"/>
    </sheetView>
  </sheetViews>
  <sheetFormatPr defaultRowHeight="15" x14ac:dyDescent="0.25"/>
  <cols>
    <col min="1" max="1" width="19" bestFit="1" customWidth="1"/>
    <col min="2" max="2" width="25" bestFit="1" customWidth="1"/>
    <col min="3" max="3" width="12.28515625" bestFit="1" customWidth="1"/>
    <col min="4" max="4" width="11" style="9" bestFit="1" customWidth="1"/>
    <col min="5" max="5" width="15.140625" bestFit="1" customWidth="1"/>
    <col min="6" max="6" width="21" bestFit="1" customWidth="1"/>
    <col min="7" max="7" width="10.7109375" style="9" bestFit="1" customWidth="1"/>
    <col min="8" max="8" width="13.85546875" bestFit="1" customWidth="1"/>
    <col min="9" max="9" width="16.5703125" bestFit="1" customWidth="1"/>
  </cols>
  <sheetData>
    <row r="1" spans="1:9" ht="15.75" x14ac:dyDescent="0.25">
      <c r="A1" s="4" t="s">
        <v>2</v>
      </c>
      <c r="B1" s="4" t="s">
        <v>3</v>
      </c>
      <c r="C1" s="4" t="s">
        <v>4</v>
      </c>
      <c r="D1" s="8" t="s">
        <v>5</v>
      </c>
      <c r="E1" s="4" t="s">
        <v>6</v>
      </c>
      <c r="F1" s="4" t="s">
        <v>112</v>
      </c>
      <c r="G1" s="8" t="s">
        <v>7</v>
      </c>
      <c r="H1" s="4" t="s">
        <v>8</v>
      </c>
      <c r="I1" s="4" t="s">
        <v>121</v>
      </c>
    </row>
    <row r="2" spans="1:9" x14ac:dyDescent="0.25">
      <c r="A2" s="5" t="s">
        <v>9</v>
      </c>
      <c r="B2" s="5" t="s">
        <v>10</v>
      </c>
      <c r="C2" s="5" t="s">
        <v>11</v>
      </c>
      <c r="D2" s="6">
        <v>45292</v>
      </c>
      <c r="E2" s="5">
        <v>13</v>
      </c>
      <c r="F2" s="5" t="str">
        <f>_xlfn.IFS(E2&lt;=20,"Short Day Required",E2&lt;=40,"Medium Day Required",E2&lt;=60,"Long Day Required")</f>
        <v>Short Day Required</v>
      </c>
      <c r="G2" s="6">
        <v>45305</v>
      </c>
      <c r="H2" s="7">
        <v>0.78</v>
      </c>
      <c r="I2" s="7" t="str">
        <f>_xlfn.IFS(H2&lt;=30%,"Low Progress",H2&lt;=60%,"Medium Progress",H2&lt;=90%,"High Progress",H2&lt;=100%,"Almost Done")</f>
        <v>High Progress</v>
      </c>
    </row>
    <row r="3" spans="1:9" x14ac:dyDescent="0.25">
      <c r="A3" s="5" t="s">
        <v>9</v>
      </c>
      <c r="B3" s="5" t="s">
        <v>12</v>
      </c>
      <c r="C3" s="5" t="s">
        <v>13</v>
      </c>
      <c r="D3" s="6">
        <v>45305</v>
      </c>
      <c r="E3" s="5">
        <v>14</v>
      </c>
      <c r="F3" s="5" t="str">
        <f t="shared" ref="F3:F47" si="0">_xlfn.IFS(E3&lt;=20,"Short Day Required",E3&lt;=40,"Medium Day Required",E3&lt;=60,"Long Day Required")</f>
        <v>Short Day Required</v>
      </c>
      <c r="G3" s="6">
        <v>45319</v>
      </c>
      <c r="H3" s="7">
        <v>1</v>
      </c>
      <c r="I3" s="7" t="str">
        <f t="shared" ref="I3:I47" si="1">_xlfn.IFS(H3&lt;=30%,"Low Progress",H3&lt;=60%,"Medium Progress",H3&lt;=90%,"High Progress",H3&lt;=100%,"Almost Done")</f>
        <v>Almost Done</v>
      </c>
    </row>
    <row r="4" spans="1:9" x14ac:dyDescent="0.25">
      <c r="A4" s="5" t="s">
        <v>9</v>
      </c>
      <c r="B4" s="5" t="s">
        <v>14</v>
      </c>
      <c r="C4" s="5" t="s">
        <v>15</v>
      </c>
      <c r="D4" s="6">
        <v>45319</v>
      </c>
      <c r="E4" s="5">
        <v>22</v>
      </c>
      <c r="F4" s="5" t="str">
        <f t="shared" si="0"/>
        <v>Medium Day Required</v>
      </c>
      <c r="G4" s="6">
        <v>45341</v>
      </c>
      <c r="H4" s="7">
        <v>0.45</v>
      </c>
      <c r="I4" s="7" t="str">
        <f t="shared" si="1"/>
        <v>Medium Progress</v>
      </c>
    </row>
    <row r="5" spans="1:9" x14ac:dyDescent="0.25">
      <c r="A5" s="5" t="s">
        <v>9</v>
      </c>
      <c r="B5" s="5" t="s">
        <v>16</v>
      </c>
      <c r="C5" s="5" t="s">
        <v>17</v>
      </c>
      <c r="D5" s="6">
        <v>45340</v>
      </c>
      <c r="E5" s="5">
        <v>25</v>
      </c>
      <c r="F5" s="5" t="str">
        <f t="shared" si="0"/>
        <v>Medium Day Required</v>
      </c>
      <c r="G5" s="6">
        <v>45365</v>
      </c>
      <c r="H5" s="7">
        <v>0</v>
      </c>
      <c r="I5" s="7" t="str">
        <f t="shared" si="1"/>
        <v>Low Progress</v>
      </c>
    </row>
    <row r="6" spans="1:9" x14ac:dyDescent="0.25">
      <c r="A6" s="5" t="s">
        <v>18</v>
      </c>
      <c r="B6" s="5" t="s">
        <v>19</v>
      </c>
      <c r="C6" s="5" t="s">
        <v>20</v>
      </c>
      <c r="D6" s="6">
        <v>45293</v>
      </c>
      <c r="E6" s="5">
        <v>18</v>
      </c>
      <c r="F6" s="5" t="str">
        <f t="shared" si="0"/>
        <v>Short Day Required</v>
      </c>
      <c r="G6" s="6">
        <v>45311</v>
      </c>
      <c r="H6" s="7">
        <v>1</v>
      </c>
      <c r="I6" s="7" t="str">
        <f t="shared" si="1"/>
        <v>Almost Done</v>
      </c>
    </row>
    <row r="7" spans="1:9" x14ac:dyDescent="0.25">
      <c r="A7" s="5" t="s">
        <v>18</v>
      </c>
      <c r="B7" s="5" t="s">
        <v>21</v>
      </c>
      <c r="C7" s="5" t="s">
        <v>22</v>
      </c>
      <c r="D7" s="6">
        <v>45311</v>
      </c>
      <c r="E7" s="5">
        <v>10</v>
      </c>
      <c r="F7" s="5" t="str">
        <f t="shared" si="0"/>
        <v>Short Day Required</v>
      </c>
      <c r="G7" s="6">
        <v>45321</v>
      </c>
      <c r="H7" s="7">
        <v>0.78</v>
      </c>
      <c r="I7" s="7" t="str">
        <f t="shared" si="1"/>
        <v>High Progress</v>
      </c>
    </row>
    <row r="8" spans="1:9" x14ac:dyDescent="0.25">
      <c r="A8" s="5" t="s">
        <v>18</v>
      </c>
      <c r="B8" s="5" t="s">
        <v>23</v>
      </c>
      <c r="C8" s="5" t="s">
        <v>24</v>
      </c>
      <c r="D8" s="6">
        <v>45326</v>
      </c>
      <c r="E8" s="5">
        <v>25</v>
      </c>
      <c r="F8" s="5" t="str">
        <f t="shared" si="0"/>
        <v>Medium Day Required</v>
      </c>
      <c r="G8" s="6">
        <v>45351</v>
      </c>
      <c r="H8" s="7">
        <v>0</v>
      </c>
      <c r="I8" s="7" t="str">
        <f t="shared" si="1"/>
        <v>Low Progress</v>
      </c>
    </row>
    <row r="9" spans="1:9" x14ac:dyDescent="0.25">
      <c r="A9" s="5" t="s">
        <v>114</v>
      </c>
      <c r="B9" s="5" t="s">
        <v>26</v>
      </c>
      <c r="C9" s="5" t="s">
        <v>27</v>
      </c>
      <c r="D9" s="6">
        <v>45323</v>
      </c>
      <c r="E9" s="5">
        <v>22</v>
      </c>
      <c r="F9" s="5" t="str">
        <f t="shared" si="0"/>
        <v>Medium Day Required</v>
      </c>
      <c r="G9" s="6">
        <v>45345</v>
      </c>
      <c r="H9" s="7">
        <v>1</v>
      </c>
      <c r="I9" s="7" t="str">
        <f t="shared" si="1"/>
        <v>Almost Done</v>
      </c>
    </row>
    <row r="10" spans="1:9" x14ac:dyDescent="0.25">
      <c r="A10" s="5" t="s">
        <v>114</v>
      </c>
      <c r="B10" s="5" t="s">
        <v>28</v>
      </c>
      <c r="C10" s="5" t="s">
        <v>29</v>
      </c>
      <c r="D10" s="6">
        <v>45346</v>
      </c>
      <c r="E10" s="5">
        <v>25</v>
      </c>
      <c r="F10" s="5" t="str">
        <f t="shared" si="0"/>
        <v>Medium Day Required</v>
      </c>
      <c r="G10" s="6">
        <v>45371</v>
      </c>
      <c r="H10" s="7">
        <v>1</v>
      </c>
      <c r="I10" s="7" t="str">
        <f t="shared" si="1"/>
        <v>Almost Done</v>
      </c>
    </row>
    <row r="11" spans="1:9" x14ac:dyDescent="0.25">
      <c r="A11" s="5" t="s">
        <v>114</v>
      </c>
      <c r="B11" s="5" t="s">
        <v>30</v>
      </c>
      <c r="C11" s="5" t="s">
        <v>31</v>
      </c>
      <c r="D11" s="6">
        <v>45372</v>
      </c>
      <c r="E11" s="5">
        <v>30</v>
      </c>
      <c r="F11" s="5" t="str">
        <f t="shared" si="0"/>
        <v>Medium Day Required</v>
      </c>
      <c r="G11" s="6">
        <v>45402</v>
      </c>
      <c r="H11" s="7">
        <v>0</v>
      </c>
      <c r="I11" s="7" t="str">
        <f t="shared" si="1"/>
        <v>Low Progress</v>
      </c>
    </row>
    <row r="12" spans="1:9" x14ac:dyDescent="0.25">
      <c r="A12" s="5" t="s">
        <v>32</v>
      </c>
      <c r="B12" s="5" t="s">
        <v>33</v>
      </c>
      <c r="C12" s="5" t="s">
        <v>34</v>
      </c>
      <c r="D12" s="6">
        <v>45324</v>
      </c>
      <c r="E12" s="5">
        <v>22</v>
      </c>
      <c r="F12" s="5" t="str">
        <f t="shared" si="0"/>
        <v>Medium Day Required</v>
      </c>
      <c r="G12" s="6">
        <v>45346</v>
      </c>
      <c r="H12" s="7">
        <v>0.1</v>
      </c>
      <c r="I12" s="7" t="str">
        <f t="shared" si="1"/>
        <v>Low Progress</v>
      </c>
    </row>
    <row r="13" spans="1:9" x14ac:dyDescent="0.25">
      <c r="A13" s="5" t="s">
        <v>32</v>
      </c>
      <c r="B13" s="5" t="s">
        <v>35</v>
      </c>
      <c r="C13" s="5" t="s">
        <v>36</v>
      </c>
      <c r="D13" s="6">
        <v>45335</v>
      </c>
      <c r="E13" s="5">
        <v>21</v>
      </c>
      <c r="F13" s="5" t="str">
        <f t="shared" si="0"/>
        <v>Medium Day Required</v>
      </c>
      <c r="G13" s="6">
        <v>45331</v>
      </c>
      <c r="H13" s="7">
        <v>0.78</v>
      </c>
      <c r="I13" s="7" t="str">
        <f t="shared" si="1"/>
        <v>High Progress</v>
      </c>
    </row>
    <row r="14" spans="1:9" x14ac:dyDescent="0.25">
      <c r="A14" s="5" t="s">
        <v>32</v>
      </c>
      <c r="B14" s="5" t="s">
        <v>37</v>
      </c>
      <c r="C14" s="5" t="s">
        <v>36</v>
      </c>
      <c r="D14" s="6">
        <v>45370</v>
      </c>
      <c r="E14" s="5">
        <v>25</v>
      </c>
      <c r="F14" s="5" t="str">
        <f t="shared" si="0"/>
        <v>Medium Day Required</v>
      </c>
      <c r="G14" s="6">
        <v>45395</v>
      </c>
      <c r="H14" s="7">
        <v>1</v>
      </c>
      <c r="I14" s="7" t="str">
        <f t="shared" si="1"/>
        <v>Almost Done</v>
      </c>
    </row>
    <row r="15" spans="1:9" x14ac:dyDescent="0.25">
      <c r="A15" s="5" t="s">
        <v>38</v>
      </c>
      <c r="B15" s="5" t="s">
        <v>39</v>
      </c>
      <c r="C15" s="5" t="s">
        <v>40</v>
      </c>
      <c r="D15" s="6">
        <v>45293</v>
      </c>
      <c r="E15" s="5">
        <v>23</v>
      </c>
      <c r="F15" s="5" t="str">
        <f t="shared" si="0"/>
        <v>Medium Day Required</v>
      </c>
      <c r="G15" s="6">
        <v>45316</v>
      </c>
      <c r="H15" s="7">
        <v>0.5</v>
      </c>
      <c r="I15" s="7" t="str">
        <f t="shared" si="1"/>
        <v>Medium Progress</v>
      </c>
    </row>
    <row r="16" spans="1:9" x14ac:dyDescent="0.25">
      <c r="A16" s="5" t="s">
        <v>38</v>
      </c>
      <c r="B16" s="5" t="s">
        <v>41</v>
      </c>
      <c r="C16" s="5" t="s">
        <v>42</v>
      </c>
      <c r="D16" s="6">
        <v>45317</v>
      </c>
      <c r="E16" s="5">
        <v>32</v>
      </c>
      <c r="F16" s="5" t="str">
        <f t="shared" si="0"/>
        <v>Medium Day Required</v>
      </c>
      <c r="G16" s="6">
        <v>45349</v>
      </c>
      <c r="H16" s="7">
        <v>0</v>
      </c>
      <c r="I16" s="7" t="str">
        <f t="shared" si="1"/>
        <v>Low Progress</v>
      </c>
    </row>
    <row r="17" spans="1:9" x14ac:dyDescent="0.25">
      <c r="A17" s="5" t="s">
        <v>38</v>
      </c>
      <c r="B17" s="5" t="s">
        <v>43</v>
      </c>
      <c r="C17" s="5" t="s">
        <v>44</v>
      </c>
      <c r="D17" s="6">
        <v>45350</v>
      </c>
      <c r="E17" s="5">
        <v>27</v>
      </c>
      <c r="F17" s="5" t="str">
        <f t="shared" si="0"/>
        <v>Medium Day Required</v>
      </c>
      <c r="G17" s="6">
        <v>45377</v>
      </c>
      <c r="H17" s="7">
        <v>0</v>
      </c>
      <c r="I17" s="7" t="str">
        <f t="shared" si="1"/>
        <v>Low Progress</v>
      </c>
    </row>
    <row r="18" spans="1:9" x14ac:dyDescent="0.25">
      <c r="A18" s="5" t="s">
        <v>45</v>
      </c>
      <c r="B18" s="5" t="s">
        <v>46</v>
      </c>
      <c r="C18" s="5" t="s">
        <v>47</v>
      </c>
      <c r="D18" s="6">
        <v>45293</v>
      </c>
      <c r="E18" s="5">
        <v>36</v>
      </c>
      <c r="F18" s="5" t="str">
        <f t="shared" si="0"/>
        <v>Medium Day Required</v>
      </c>
      <c r="G18" s="6">
        <v>45329</v>
      </c>
      <c r="H18" s="7">
        <v>1</v>
      </c>
      <c r="I18" s="7" t="str">
        <f t="shared" si="1"/>
        <v>Almost Done</v>
      </c>
    </row>
    <row r="19" spans="1:9" x14ac:dyDescent="0.25">
      <c r="A19" s="5" t="s">
        <v>45</v>
      </c>
      <c r="B19" s="5" t="s">
        <v>48</v>
      </c>
      <c r="C19" s="5" t="s">
        <v>49</v>
      </c>
      <c r="D19" s="6">
        <v>45330</v>
      </c>
      <c r="E19" s="5">
        <v>34</v>
      </c>
      <c r="F19" s="5" t="str">
        <f t="shared" si="0"/>
        <v>Medium Day Required</v>
      </c>
      <c r="G19" s="6">
        <v>45364</v>
      </c>
      <c r="H19" s="7">
        <v>0</v>
      </c>
      <c r="I19" s="7" t="str">
        <f t="shared" si="1"/>
        <v>Low Progress</v>
      </c>
    </row>
    <row r="20" spans="1:9" x14ac:dyDescent="0.25">
      <c r="A20" s="5" t="s">
        <v>45</v>
      </c>
      <c r="B20" s="5" t="s">
        <v>50</v>
      </c>
      <c r="C20" s="5" t="s">
        <v>51</v>
      </c>
      <c r="D20" s="6">
        <v>45365</v>
      </c>
      <c r="E20" s="5">
        <v>30</v>
      </c>
      <c r="F20" s="5" t="str">
        <f t="shared" si="0"/>
        <v>Medium Day Required</v>
      </c>
      <c r="G20" s="6">
        <v>45395</v>
      </c>
      <c r="H20" s="7">
        <v>0</v>
      </c>
      <c r="I20" s="7" t="str">
        <f t="shared" si="1"/>
        <v>Low Progress</v>
      </c>
    </row>
    <row r="21" spans="1:9" x14ac:dyDescent="0.25">
      <c r="A21" s="5" t="s">
        <v>52</v>
      </c>
      <c r="B21" s="5" t="s">
        <v>53</v>
      </c>
      <c r="C21" s="5" t="s">
        <v>54</v>
      </c>
      <c r="D21" s="6">
        <v>45294</v>
      </c>
      <c r="E21" s="5">
        <v>47</v>
      </c>
      <c r="F21" s="5" t="str">
        <f t="shared" si="0"/>
        <v>Long Day Required</v>
      </c>
      <c r="G21" s="6">
        <v>45341</v>
      </c>
      <c r="H21" s="7">
        <v>0.3</v>
      </c>
      <c r="I21" s="7" t="str">
        <f t="shared" si="1"/>
        <v>Low Progress</v>
      </c>
    </row>
    <row r="22" spans="1:9" x14ac:dyDescent="0.25">
      <c r="A22" s="5" t="s">
        <v>52</v>
      </c>
      <c r="B22" s="5" t="s">
        <v>55</v>
      </c>
      <c r="C22" s="5" t="s">
        <v>56</v>
      </c>
      <c r="D22" s="6">
        <v>45339</v>
      </c>
      <c r="E22" s="5">
        <v>27</v>
      </c>
      <c r="F22" s="5" t="str">
        <f t="shared" si="0"/>
        <v>Medium Day Required</v>
      </c>
      <c r="G22" s="6">
        <v>45366</v>
      </c>
      <c r="H22" s="7">
        <v>0</v>
      </c>
      <c r="I22" s="7" t="str">
        <f t="shared" si="1"/>
        <v>Low Progress</v>
      </c>
    </row>
    <row r="23" spans="1:9" x14ac:dyDescent="0.25">
      <c r="A23" s="5" t="s">
        <v>52</v>
      </c>
      <c r="B23" s="5" t="s">
        <v>57</v>
      </c>
      <c r="C23" s="5" t="s">
        <v>58</v>
      </c>
      <c r="D23" s="6">
        <v>45365</v>
      </c>
      <c r="E23" s="5">
        <v>22</v>
      </c>
      <c r="F23" s="5" t="str">
        <f t="shared" si="0"/>
        <v>Medium Day Required</v>
      </c>
      <c r="G23" s="6">
        <v>45387</v>
      </c>
      <c r="H23" s="7">
        <v>0</v>
      </c>
      <c r="I23" s="7" t="str">
        <f t="shared" si="1"/>
        <v>Low Progress</v>
      </c>
    </row>
    <row r="24" spans="1:9" x14ac:dyDescent="0.25">
      <c r="A24" s="5" t="s">
        <v>59</v>
      </c>
      <c r="B24" s="5" t="s">
        <v>60</v>
      </c>
      <c r="C24" s="5" t="s">
        <v>61</v>
      </c>
      <c r="D24" s="6">
        <v>45294</v>
      </c>
      <c r="E24" s="5">
        <v>60</v>
      </c>
      <c r="F24" s="5" t="str">
        <f t="shared" si="0"/>
        <v>Long Day Required</v>
      </c>
      <c r="G24" s="6">
        <v>45354</v>
      </c>
      <c r="H24" s="7">
        <v>0.7</v>
      </c>
      <c r="I24" s="7" t="str">
        <f t="shared" si="1"/>
        <v>High Progress</v>
      </c>
    </row>
    <row r="25" spans="1:9" x14ac:dyDescent="0.25">
      <c r="A25" s="5" t="s">
        <v>59</v>
      </c>
      <c r="B25" s="5" t="s">
        <v>62</v>
      </c>
      <c r="C25" s="5" t="s">
        <v>63</v>
      </c>
      <c r="D25" s="6">
        <v>45297</v>
      </c>
      <c r="E25" s="5">
        <v>20</v>
      </c>
      <c r="F25" s="5" t="str">
        <f t="shared" si="0"/>
        <v>Short Day Required</v>
      </c>
      <c r="G25" s="6">
        <v>45317</v>
      </c>
      <c r="H25" s="7">
        <v>0.78</v>
      </c>
      <c r="I25" s="7" t="str">
        <f t="shared" si="1"/>
        <v>High Progress</v>
      </c>
    </row>
    <row r="26" spans="1:9" x14ac:dyDescent="0.25">
      <c r="A26" s="5" t="s">
        <v>59</v>
      </c>
      <c r="B26" s="5" t="s">
        <v>64</v>
      </c>
      <c r="C26" s="5" t="s">
        <v>65</v>
      </c>
      <c r="D26" s="6">
        <v>45325</v>
      </c>
      <c r="E26" s="5">
        <v>35</v>
      </c>
      <c r="F26" s="5" t="str">
        <f t="shared" si="0"/>
        <v>Medium Day Required</v>
      </c>
      <c r="G26" s="6">
        <v>45360</v>
      </c>
      <c r="H26" s="7">
        <v>0</v>
      </c>
      <c r="I26" s="7" t="str">
        <f t="shared" si="1"/>
        <v>Low Progress</v>
      </c>
    </row>
    <row r="27" spans="1:9" x14ac:dyDescent="0.25">
      <c r="A27" s="5" t="s">
        <v>66</v>
      </c>
      <c r="B27" s="5" t="s">
        <v>67</v>
      </c>
      <c r="C27" s="5" t="s">
        <v>68</v>
      </c>
      <c r="D27" s="6">
        <v>45292</v>
      </c>
      <c r="E27" s="5">
        <v>25</v>
      </c>
      <c r="F27" s="5" t="str">
        <f t="shared" si="0"/>
        <v>Medium Day Required</v>
      </c>
      <c r="G27" s="6">
        <v>45317</v>
      </c>
      <c r="H27" s="7">
        <v>1</v>
      </c>
      <c r="I27" s="7" t="str">
        <f t="shared" si="1"/>
        <v>Almost Done</v>
      </c>
    </row>
    <row r="28" spans="1:9" x14ac:dyDescent="0.25">
      <c r="A28" s="5" t="s">
        <v>66</v>
      </c>
      <c r="B28" s="5" t="s">
        <v>69</v>
      </c>
      <c r="C28" s="5" t="s">
        <v>70</v>
      </c>
      <c r="D28" s="6">
        <v>45318</v>
      </c>
      <c r="E28" s="5">
        <v>31</v>
      </c>
      <c r="F28" s="5" t="str">
        <f t="shared" si="0"/>
        <v>Medium Day Required</v>
      </c>
      <c r="G28" s="6">
        <v>45349</v>
      </c>
      <c r="H28" s="7">
        <v>1</v>
      </c>
      <c r="I28" s="7" t="str">
        <f t="shared" si="1"/>
        <v>Almost Done</v>
      </c>
    </row>
    <row r="29" spans="1:9" x14ac:dyDescent="0.25">
      <c r="A29" s="5" t="s">
        <v>66</v>
      </c>
      <c r="B29" s="5" t="s">
        <v>71</v>
      </c>
      <c r="C29" s="5" t="s">
        <v>72</v>
      </c>
      <c r="D29" s="6">
        <v>45353</v>
      </c>
      <c r="E29" s="5">
        <v>22</v>
      </c>
      <c r="F29" s="5" t="str">
        <f t="shared" si="0"/>
        <v>Medium Day Required</v>
      </c>
      <c r="G29" s="6">
        <v>45375</v>
      </c>
      <c r="H29" s="7">
        <v>0</v>
      </c>
      <c r="I29" s="7" t="str">
        <f t="shared" si="1"/>
        <v>Low Progress</v>
      </c>
    </row>
    <row r="30" spans="1:9" x14ac:dyDescent="0.25">
      <c r="A30" s="5" t="s">
        <v>73</v>
      </c>
      <c r="B30" s="5" t="s">
        <v>74</v>
      </c>
      <c r="C30" s="5" t="s">
        <v>75</v>
      </c>
      <c r="D30" s="6">
        <v>45294</v>
      </c>
      <c r="E30" s="5">
        <v>30</v>
      </c>
      <c r="F30" s="5" t="str">
        <f t="shared" si="0"/>
        <v>Medium Day Required</v>
      </c>
      <c r="G30" s="6">
        <v>45324</v>
      </c>
      <c r="H30" s="7">
        <v>0.4</v>
      </c>
      <c r="I30" s="7" t="str">
        <f t="shared" si="1"/>
        <v>Medium Progress</v>
      </c>
    </row>
    <row r="31" spans="1:9" x14ac:dyDescent="0.25">
      <c r="A31" s="5" t="s">
        <v>73</v>
      </c>
      <c r="B31" s="5" t="s">
        <v>76</v>
      </c>
      <c r="C31" s="5" t="s">
        <v>77</v>
      </c>
      <c r="D31" s="6">
        <v>45325</v>
      </c>
      <c r="E31" s="5">
        <v>25</v>
      </c>
      <c r="F31" s="5" t="str">
        <f t="shared" si="0"/>
        <v>Medium Day Required</v>
      </c>
      <c r="G31" s="6">
        <v>45350</v>
      </c>
      <c r="H31" s="7">
        <v>0</v>
      </c>
      <c r="I31" s="7" t="str">
        <f t="shared" si="1"/>
        <v>Low Progress</v>
      </c>
    </row>
    <row r="32" spans="1:9" x14ac:dyDescent="0.25">
      <c r="A32" s="5" t="s">
        <v>73</v>
      </c>
      <c r="B32" s="5" t="s">
        <v>78</v>
      </c>
      <c r="C32" s="5" t="s">
        <v>79</v>
      </c>
      <c r="D32" s="6">
        <v>45351</v>
      </c>
      <c r="E32" s="5">
        <v>20</v>
      </c>
      <c r="F32" s="5" t="str">
        <f t="shared" si="0"/>
        <v>Short Day Required</v>
      </c>
      <c r="G32" s="6">
        <v>45371</v>
      </c>
      <c r="H32" s="7">
        <v>0</v>
      </c>
      <c r="I32" s="7" t="str">
        <f t="shared" si="1"/>
        <v>Low Progress</v>
      </c>
    </row>
    <row r="33" spans="1:9" x14ac:dyDescent="0.25">
      <c r="A33" s="5" t="s">
        <v>80</v>
      </c>
      <c r="B33" s="5" t="s">
        <v>81</v>
      </c>
      <c r="C33" s="5" t="s">
        <v>22</v>
      </c>
      <c r="D33" s="6">
        <v>45293</v>
      </c>
      <c r="E33" s="5">
        <v>35</v>
      </c>
      <c r="F33" s="5" t="str">
        <f t="shared" si="0"/>
        <v>Medium Day Required</v>
      </c>
      <c r="G33" s="6">
        <v>45328</v>
      </c>
      <c r="H33" s="7">
        <v>0.6</v>
      </c>
      <c r="I33" s="7" t="str">
        <f t="shared" si="1"/>
        <v>Medium Progress</v>
      </c>
    </row>
    <row r="34" spans="1:9" x14ac:dyDescent="0.25">
      <c r="A34" s="5" t="s">
        <v>80</v>
      </c>
      <c r="B34" s="5" t="s">
        <v>82</v>
      </c>
      <c r="C34" s="5" t="s">
        <v>83</v>
      </c>
      <c r="D34" s="6">
        <v>45324</v>
      </c>
      <c r="E34" s="5">
        <v>32</v>
      </c>
      <c r="F34" s="5" t="str">
        <f t="shared" si="0"/>
        <v>Medium Day Required</v>
      </c>
      <c r="G34" s="6">
        <v>45356</v>
      </c>
      <c r="H34" s="7">
        <v>0</v>
      </c>
      <c r="I34" s="7" t="str">
        <f t="shared" si="1"/>
        <v>Low Progress</v>
      </c>
    </row>
    <row r="35" spans="1:9" x14ac:dyDescent="0.25">
      <c r="A35" s="5" t="s">
        <v>80</v>
      </c>
      <c r="B35" s="5" t="s">
        <v>84</v>
      </c>
      <c r="C35" s="5" t="s">
        <v>85</v>
      </c>
      <c r="D35" s="6">
        <v>45357</v>
      </c>
      <c r="E35" s="5">
        <v>25</v>
      </c>
      <c r="F35" s="5" t="str">
        <f t="shared" si="0"/>
        <v>Medium Day Required</v>
      </c>
      <c r="G35" s="6">
        <v>45382</v>
      </c>
      <c r="H35" s="7">
        <v>0</v>
      </c>
      <c r="I35" s="7" t="str">
        <f t="shared" si="1"/>
        <v>Low Progress</v>
      </c>
    </row>
    <row r="36" spans="1:9" x14ac:dyDescent="0.25">
      <c r="A36" s="5" t="s">
        <v>86</v>
      </c>
      <c r="B36" s="5" t="s">
        <v>87</v>
      </c>
      <c r="C36" s="5" t="s">
        <v>88</v>
      </c>
      <c r="D36" s="6">
        <v>45295</v>
      </c>
      <c r="E36" s="5">
        <v>27</v>
      </c>
      <c r="F36" s="5" t="str">
        <f t="shared" si="0"/>
        <v>Medium Day Required</v>
      </c>
      <c r="G36" s="6">
        <v>45322</v>
      </c>
      <c r="H36" s="7">
        <v>0.8</v>
      </c>
      <c r="I36" s="7" t="str">
        <f t="shared" si="1"/>
        <v>High Progress</v>
      </c>
    </row>
    <row r="37" spans="1:9" x14ac:dyDescent="0.25">
      <c r="A37" s="5" t="s">
        <v>86</v>
      </c>
      <c r="B37" s="5" t="s">
        <v>89</v>
      </c>
      <c r="C37" s="5" t="s">
        <v>90</v>
      </c>
      <c r="D37" s="6">
        <v>45319</v>
      </c>
      <c r="E37" s="5">
        <v>30</v>
      </c>
      <c r="F37" s="5" t="str">
        <f t="shared" si="0"/>
        <v>Medium Day Required</v>
      </c>
      <c r="G37" s="6">
        <v>45349</v>
      </c>
      <c r="H37" s="7">
        <v>0</v>
      </c>
      <c r="I37" s="7" t="str">
        <f t="shared" si="1"/>
        <v>Low Progress</v>
      </c>
    </row>
    <row r="38" spans="1:9" x14ac:dyDescent="0.25">
      <c r="A38" s="5" t="s">
        <v>86</v>
      </c>
      <c r="B38" s="5" t="s">
        <v>91</v>
      </c>
      <c r="C38" s="5" t="s">
        <v>92</v>
      </c>
      <c r="D38" s="6">
        <v>45350</v>
      </c>
      <c r="E38" s="5">
        <v>22</v>
      </c>
      <c r="F38" s="5" t="str">
        <f t="shared" si="0"/>
        <v>Medium Day Required</v>
      </c>
      <c r="G38" s="6">
        <v>45372</v>
      </c>
      <c r="H38" s="7">
        <v>0</v>
      </c>
      <c r="I38" s="7" t="str">
        <f t="shared" si="1"/>
        <v>Low Progress</v>
      </c>
    </row>
    <row r="39" spans="1:9" x14ac:dyDescent="0.25">
      <c r="A39" s="5" t="s">
        <v>93</v>
      </c>
      <c r="B39" s="5" t="s">
        <v>94</v>
      </c>
      <c r="C39" s="5" t="s">
        <v>95</v>
      </c>
      <c r="D39" s="6">
        <v>45294</v>
      </c>
      <c r="E39" s="5">
        <v>25</v>
      </c>
      <c r="F39" s="5" t="str">
        <f t="shared" si="0"/>
        <v>Medium Day Required</v>
      </c>
      <c r="G39" s="6">
        <v>45319</v>
      </c>
      <c r="H39" s="7">
        <v>0.3</v>
      </c>
      <c r="I39" s="7" t="str">
        <f t="shared" si="1"/>
        <v>Low Progress</v>
      </c>
    </row>
    <row r="40" spans="1:9" x14ac:dyDescent="0.25">
      <c r="A40" s="5" t="s">
        <v>93</v>
      </c>
      <c r="B40" s="5" t="s">
        <v>96</v>
      </c>
      <c r="C40" s="5" t="s">
        <v>97</v>
      </c>
      <c r="D40" s="6">
        <v>45325</v>
      </c>
      <c r="E40" s="5">
        <v>20</v>
      </c>
      <c r="F40" s="5" t="str">
        <f t="shared" si="0"/>
        <v>Short Day Required</v>
      </c>
      <c r="G40" s="6">
        <v>45345</v>
      </c>
      <c r="H40" s="7">
        <v>0</v>
      </c>
      <c r="I40" s="7" t="str">
        <f t="shared" si="1"/>
        <v>Low Progress</v>
      </c>
    </row>
    <row r="41" spans="1:9" x14ac:dyDescent="0.25">
      <c r="A41" s="5" t="s">
        <v>93</v>
      </c>
      <c r="B41" s="5" t="s">
        <v>98</v>
      </c>
      <c r="C41" s="5" t="s">
        <v>113</v>
      </c>
      <c r="D41" s="6">
        <v>45346</v>
      </c>
      <c r="E41" s="5">
        <v>35</v>
      </c>
      <c r="F41" s="5" t="str">
        <f t="shared" si="0"/>
        <v>Medium Day Required</v>
      </c>
      <c r="G41" s="6">
        <v>45381</v>
      </c>
      <c r="H41" s="7">
        <v>0</v>
      </c>
      <c r="I41" s="7" t="str">
        <f t="shared" si="1"/>
        <v>Low Progress</v>
      </c>
    </row>
    <row r="42" spans="1:9" x14ac:dyDescent="0.25">
      <c r="A42" s="5" t="s">
        <v>100</v>
      </c>
      <c r="B42" s="5" t="s">
        <v>101</v>
      </c>
      <c r="C42" s="5" t="s">
        <v>102</v>
      </c>
      <c r="D42" s="6">
        <v>45294</v>
      </c>
      <c r="E42" s="5">
        <v>25</v>
      </c>
      <c r="F42" s="5" t="str">
        <f t="shared" si="0"/>
        <v>Medium Day Required</v>
      </c>
      <c r="G42" s="6">
        <v>45319</v>
      </c>
      <c r="H42" s="7">
        <v>0.5</v>
      </c>
      <c r="I42" s="7" t="str">
        <f t="shared" si="1"/>
        <v>Medium Progress</v>
      </c>
    </row>
    <row r="43" spans="1:9" x14ac:dyDescent="0.25">
      <c r="A43" s="5" t="s">
        <v>100</v>
      </c>
      <c r="B43" s="5" t="s">
        <v>103</v>
      </c>
      <c r="C43" s="5" t="s">
        <v>104</v>
      </c>
      <c r="D43" s="6">
        <v>45320</v>
      </c>
      <c r="E43" s="5">
        <v>30</v>
      </c>
      <c r="F43" s="5" t="str">
        <f t="shared" si="0"/>
        <v>Medium Day Required</v>
      </c>
      <c r="G43" s="6">
        <v>45350</v>
      </c>
      <c r="H43" s="7">
        <v>1</v>
      </c>
      <c r="I43" s="7" t="str">
        <f t="shared" si="1"/>
        <v>Almost Done</v>
      </c>
    </row>
    <row r="44" spans="1:9" x14ac:dyDescent="0.25">
      <c r="A44" s="5" t="s">
        <v>100</v>
      </c>
      <c r="B44" s="5" t="s">
        <v>105</v>
      </c>
      <c r="C44" s="5" t="s">
        <v>106</v>
      </c>
      <c r="D44" s="6">
        <v>45380</v>
      </c>
      <c r="E44" s="5">
        <v>20</v>
      </c>
      <c r="F44" s="5" t="str">
        <f t="shared" si="0"/>
        <v>Short Day Required</v>
      </c>
      <c r="G44" s="6">
        <v>45400</v>
      </c>
      <c r="H44" s="7">
        <v>0</v>
      </c>
      <c r="I44" s="7" t="str">
        <f t="shared" si="1"/>
        <v>Low Progress</v>
      </c>
    </row>
    <row r="45" spans="1:9" x14ac:dyDescent="0.25">
      <c r="A45" s="5" t="s">
        <v>107</v>
      </c>
      <c r="B45" s="5" t="s">
        <v>108</v>
      </c>
      <c r="C45" s="5" t="s">
        <v>49</v>
      </c>
      <c r="D45" s="6">
        <v>45293</v>
      </c>
      <c r="E45" s="5">
        <v>25</v>
      </c>
      <c r="F45" s="5" t="str">
        <f t="shared" si="0"/>
        <v>Medium Day Required</v>
      </c>
      <c r="G45" s="6">
        <v>45318</v>
      </c>
      <c r="H45" s="7">
        <v>0.2</v>
      </c>
      <c r="I45" s="7" t="str">
        <f t="shared" si="1"/>
        <v>Low Progress</v>
      </c>
    </row>
    <row r="46" spans="1:9" x14ac:dyDescent="0.25">
      <c r="A46" s="5" t="s">
        <v>107</v>
      </c>
      <c r="B46" s="5" t="s">
        <v>109</v>
      </c>
      <c r="C46" s="5" t="s">
        <v>51</v>
      </c>
      <c r="D46" s="6">
        <v>45324</v>
      </c>
      <c r="E46" s="5">
        <v>22</v>
      </c>
      <c r="F46" s="5" t="str">
        <f t="shared" si="0"/>
        <v>Medium Day Required</v>
      </c>
      <c r="G46" s="6">
        <v>45346</v>
      </c>
      <c r="H46" s="7">
        <v>0</v>
      </c>
      <c r="I46" s="7" t="str">
        <f t="shared" si="1"/>
        <v>Low Progress</v>
      </c>
    </row>
    <row r="47" spans="1:9" x14ac:dyDescent="0.25">
      <c r="A47" s="5" t="s">
        <v>107</v>
      </c>
      <c r="B47" s="5" t="s">
        <v>110</v>
      </c>
      <c r="C47" s="5" t="s">
        <v>111</v>
      </c>
      <c r="D47" s="6">
        <v>45345</v>
      </c>
      <c r="E47" s="5">
        <v>27</v>
      </c>
      <c r="F47" s="5" t="str">
        <f t="shared" si="0"/>
        <v>Medium Day Required</v>
      </c>
      <c r="G47" s="6">
        <v>45372</v>
      </c>
      <c r="H47" s="7">
        <v>0</v>
      </c>
      <c r="I47" s="7" t="str">
        <f t="shared" si="1"/>
        <v>Low Progress</v>
      </c>
    </row>
  </sheetData>
  <autoFilter ref="A1:I1" xr:uid="{D51907FA-59B5-420C-BED6-8861E82059F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6A4A8-E0F3-4C44-B9B2-88F473740707}">
  <dimension ref="A1:B58"/>
  <sheetViews>
    <sheetView topLeftCell="A41" workbookViewId="0">
      <selection activeCell="G19" sqref="G19"/>
    </sheetView>
  </sheetViews>
  <sheetFormatPr defaultRowHeight="15" x14ac:dyDescent="0.25"/>
  <cols>
    <col min="1" max="1" width="16.140625" bestFit="1" customWidth="1"/>
    <col min="2" max="2" width="20" bestFit="1" customWidth="1"/>
    <col min="3" max="3" width="13.5703125" bestFit="1" customWidth="1"/>
    <col min="4" max="4" width="12.85546875" bestFit="1" customWidth="1"/>
    <col min="5" max="5" width="16.7109375" bestFit="1" customWidth="1"/>
    <col min="6" max="6" width="11.28515625" bestFit="1" customWidth="1"/>
    <col min="7" max="15" width="17.42578125" bestFit="1" customWidth="1"/>
    <col min="16" max="17" width="11.28515625" bestFit="1" customWidth="1"/>
  </cols>
  <sheetData>
    <row r="1" spans="1:2" x14ac:dyDescent="0.25">
      <c r="A1" s="10" t="s">
        <v>115</v>
      </c>
      <c r="B1" t="s">
        <v>117</v>
      </c>
    </row>
    <row r="2" spans="1:2" x14ac:dyDescent="0.25">
      <c r="A2" s="11" t="s">
        <v>80</v>
      </c>
      <c r="B2" s="12">
        <v>3</v>
      </c>
    </row>
    <row r="3" spans="1:2" x14ac:dyDescent="0.25">
      <c r="A3" s="11" t="s">
        <v>114</v>
      </c>
      <c r="B3" s="12">
        <v>3</v>
      </c>
    </row>
    <row r="4" spans="1:2" x14ac:dyDescent="0.25">
      <c r="A4" s="11" t="s">
        <v>45</v>
      </c>
      <c r="B4" s="12">
        <v>3</v>
      </c>
    </row>
    <row r="5" spans="1:2" x14ac:dyDescent="0.25">
      <c r="A5" s="11" t="s">
        <v>107</v>
      </c>
      <c r="B5" s="12">
        <v>3</v>
      </c>
    </row>
    <row r="6" spans="1:2" x14ac:dyDescent="0.25">
      <c r="A6" s="11" t="s">
        <v>93</v>
      </c>
      <c r="B6" s="12">
        <v>3</v>
      </c>
    </row>
    <row r="7" spans="1:2" x14ac:dyDescent="0.25">
      <c r="A7" s="11" t="s">
        <v>32</v>
      </c>
      <c r="B7" s="12">
        <v>3</v>
      </c>
    </row>
    <row r="8" spans="1:2" x14ac:dyDescent="0.25">
      <c r="A8" s="11" t="s">
        <v>100</v>
      </c>
      <c r="B8" s="12">
        <v>3</v>
      </c>
    </row>
    <row r="9" spans="1:2" x14ac:dyDescent="0.25">
      <c r="A9" s="11" t="s">
        <v>9</v>
      </c>
      <c r="B9" s="12">
        <v>4</v>
      </c>
    </row>
    <row r="10" spans="1:2" x14ac:dyDescent="0.25">
      <c r="A10" s="11" t="s">
        <v>73</v>
      </c>
      <c r="B10" s="12">
        <v>3</v>
      </c>
    </row>
    <row r="11" spans="1:2" x14ac:dyDescent="0.25">
      <c r="A11" s="11" t="s">
        <v>18</v>
      </c>
      <c r="B11" s="12">
        <v>3</v>
      </c>
    </row>
    <row r="12" spans="1:2" x14ac:dyDescent="0.25">
      <c r="A12" s="11" t="s">
        <v>52</v>
      </c>
      <c r="B12" s="12">
        <v>3</v>
      </c>
    </row>
    <row r="13" spans="1:2" x14ac:dyDescent="0.25">
      <c r="A13" s="11" t="s">
        <v>38</v>
      </c>
      <c r="B13" s="12">
        <v>3</v>
      </c>
    </row>
    <row r="14" spans="1:2" x14ac:dyDescent="0.25">
      <c r="A14" s="11" t="s">
        <v>59</v>
      </c>
      <c r="B14" s="12">
        <v>3</v>
      </c>
    </row>
    <row r="15" spans="1:2" x14ac:dyDescent="0.25">
      <c r="A15" s="11" t="s">
        <v>66</v>
      </c>
      <c r="B15" s="12">
        <v>3</v>
      </c>
    </row>
    <row r="16" spans="1:2" x14ac:dyDescent="0.25">
      <c r="A16" s="11" t="s">
        <v>86</v>
      </c>
      <c r="B16" s="12">
        <v>3</v>
      </c>
    </row>
    <row r="17" spans="1:2" x14ac:dyDescent="0.25">
      <c r="A17" s="11" t="s">
        <v>116</v>
      </c>
      <c r="B17" s="12">
        <v>46</v>
      </c>
    </row>
    <row r="21" spans="1:2" x14ac:dyDescent="0.25">
      <c r="A21" s="10" t="s">
        <v>115</v>
      </c>
      <c r="B21" t="s">
        <v>122</v>
      </c>
    </row>
    <row r="22" spans="1:2" x14ac:dyDescent="0.25">
      <c r="A22" s="11" t="s">
        <v>80</v>
      </c>
      <c r="B22" s="13">
        <v>0.19999999999999998</v>
      </c>
    </row>
    <row r="23" spans="1:2" x14ac:dyDescent="0.25">
      <c r="A23" s="11" t="s">
        <v>114</v>
      </c>
      <c r="B23" s="13">
        <v>0.66666666666666663</v>
      </c>
    </row>
    <row r="24" spans="1:2" x14ac:dyDescent="0.25">
      <c r="A24" s="11" t="s">
        <v>45</v>
      </c>
      <c r="B24" s="13">
        <v>0.33333333333333331</v>
      </c>
    </row>
    <row r="25" spans="1:2" x14ac:dyDescent="0.25">
      <c r="A25" s="11" t="s">
        <v>107</v>
      </c>
      <c r="B25" s="13">
        <v>6.6666666666666666E-2</v>
      </c>
    </row>
    <row r="26" spans="1:2" x14ac:dyDescent="0.25">
      <c r="A26" s="11" t="s">
        <v>93</v>
      </c>
      <c r="B26" s="13">
        <v>9.9999999999999992E-2</v>
      </c>
    </row>
    <row r="27" spans="1:2" x14ac:dyDescent="0.25">
      <c r="A27" s="11" t="s">
        <v>32</v>
      </c>
      <c r="B27" s="13">
        <v>0.62666666666666659</v>
      </c>
    </row>
    <row r="28" spans="1:2" x14ac:dyDescent="0.25">
      <c r="A28" s="11" t="s">
        <v>100</v>
      </c>
      <c r="B28" s="13">
        <v>0.5</v>
      </c>
    </row>
    <row r="29" spans="1:2" x14ac:dyDescent="0.25">
      <c r="A29" s="11" t="s">
        <v>9</v>
      </c>
      <c r="B29" s="13">
        <v>0.5575</v>
      </c>
    </row>
    <row r="30" spans="1:2" x14ac:dyDescent="0.25">
      <c r="A30" s="11" t="s">
        <v>73</v>
      </c>
      <c r="B30" s="13">
        <v>0.13333333333333333</v>
      </c>
    </row>
    <row r="31" spans="1:2" x14ac:dyDescent="0.25">
      <c r="A31" s="11" t="s">
        <v>18</v>
      </c>
      <c r="B31" s="13">
        <v>0.59333333333333338</v>
      </c>
    </row>
    <row r="32" spans="1:2" x14ac:dyDescent="0.25">
      <c r="A32" s="11" t="s">
        <v>52</v>
      </c>
      <c r="B32" s="13">
        <v>9.9999999999999992E-2</v>
      </c>
    </row>
    <row r="33" spans="1:2" x14ac:dyDescent="0.25">
      <c r="A33" s="11" t="s">
        <v>38</v>
      </c>
      <c r="B33" s="13">
        <v>0.16666666666666666</v>
      </c>
    </row>
    <row r="34" spans="1:2" x14ac:dyDescent="0.25">
      <c r="A34" s="11" t="s">
        <v>59</v>
      </c>
      <c r="B34" s="13">
        <v>0.49333333333333335</v>
      </c>
    </row>
    <row r="35" spans="1:2" x14ac:dyDescent="0.25">
      <c r="A35" s="11" t="s">
        <v>66</v>
      </c>
      <c r="B35" s="13">
        <v>0.66666666666666663</v>
      </c>
    </row>
    <row r="36" spans="1:2" x14ac:dyDescent="0.25">
      <c r="A36" s="11" t="s">
        <v>86</v>
      </c>
      <c r="B36" s="13">
        <v>0.26666666666666666</v>
      </c>
    </row>
    <row r="37" spans="1:2" x14ac:dyDescent="0.25">
      <c r="A37" s="11" t="s">
        <v>116</v>
      </c>
      <c r="B37" s="13">
        <v>0.36891304347826087</v>
      </c>
    </row>
    <row r="40" spans="1:2" x14ac:dyDescent="0.25">
      <c r="A40" s="10" t="s">
        <v>115</v>
      </c>
      <c r="B40" t="s">
        <v>127</v>
      </c>
    </row>
    <row r="41" spans="1:2" x14ac:dyDescent="0.25">
      <c r="A41" s="11" t="s">
        <v>123</v>
      </c>
      <c r="B41" s="12">
        <v>9</v>
      </c>
    </row>
    <row r="42" spans="1:2" x14ac:dyDescent="0.25">
      <c r="A42" s="11" t="s">
        <v>124</v>
      </c>
      <c r="B42" s="12">
        <v>6</v>
      </c>
    </row>
    <row r="43" spans="1:2" x14ac:dyDescent="0.25">
      <c r="A43" s="11" t="s">
        <v>125</v>
      </c>
      <c r="B43" s="12">
        <v>26</v>
      </c>
    </row>
    <row r="44" spans="1:2" x14ac:dyDescent="0.25">
      <c r="A44" s="11" t="s">
        <v>126</v>
      </c>
      <c r="B44" s="12">
        <v>5</v>
      </c>
    </row>
    <row r="45" spans="1:2" x14ac:dyDescent="0.25">
      <c r="A45" s="11" t="s">
        <v>116</v>
      </c>
      <c r="B45" s="12">
        <v>46</v>
      </c>
    </row>
    <row r="54" spans="1:2" x14ac:dyDescent="0.25">
      <c r="A54" s="10" t="s">
        <v>115</v>
      </c>
      <c r="B54" t="s">
        <v>117</v>
      </c>
    </row>
    <row r="55" spans="1:2" x14ac:dyDescent="0.25">
      <c r="A55" s="11" t="s">
        <v>118</v>
      </c>
      <c r="B55" s="12">
        <v>2</v>
      </c>
    </row>
    <row r="56" spans="1:2" x14ac:dyDescent="0.25">
      <c r="A56" s="11" t="s">
        <v>119</v>
      </c>
      <c r="B56" s="12">
        <v>36</v>
      </c>
    </row>
    <row r="57" spans="1:2" x14ac:dyDescent="0.25">
      <c r="A57" s="11" t="s">
        <v>120</v>
      </c>
      <c r="B57" s="12">
        <v>8</v>
      </c>
    </row>
    <row r="58" spans="1:2" x14ac:dyDescent="0.25">
      <c r="A58" s="11" t="s">
        <v>116</v>
      </c>
      <c r="B58" s="12">
        <v>46</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0B0E1-6200-4796-8956-6A7BBD6ED790}">
  <dimension ref="A1:N51"/>
  <sheetViews>
    <sheetView tabSelected="1" workbookViewId="0">
      <selection activeCell="P8" sqref="P8"/>
    </sheetView>
  </sheetViews>
  <sheetFormatPr defaultRowHeight="15" x14ac:dyDescent="0.25"/>
  <sheetData>
    <row r="1" spans="1:14" x14ac:dyDescent="0.25">
      <c r="A1" s="15" t="s">
        <v>128</v>
      </c>
      <c r="B1" s="14"/>
      <c r="C1" s="14"/>
      <c r="D1" s="14"/>
      <c r="E1" s="14"/>
      <c r="F1" s="14"/>
      <c r="G1" s="14"/>
      <c r="H1" s="14"/>
      <c r="I1" s="14"/>
      <c r="J1" s="14"/>
      <c r="K1" s="14"/>
      <c r="L1" s="14"/>
      <c r="M1" s="14"/>
      <c r="N1" s="14"/>
    </row>
    <row r="2" spans="1:14" x14ac:dyDescent="0.25">
      <c r="A2" s="14"/>
      <c r="B2" s="14"/>
      <c r="C2" s="14"/>
      <c r="D2" s="14"/>
      <c r="E2" s="14"/>
      <c r="F2" s="14"/>
      <c r="G2" s="14"/>
      <c r="H2" s="14"/>
      <c r="I2" s="14"/>
      <c r="J2" s="14"/>
      <c r="K2" s="14"/>
      <c r="L2" s="14"/>
      <c r="M2" s="14"/>
      <c r="N2" s="14"/>
    </row>
    <row r="3" spans="1:14" x14ac:dyDescent="0.25">
      <c r="A3" s="14"/>
      <c r="B3" s="14"/>
      <c r="C3" s="14"/>
      <c r="D3" s="14"/>
      <c r="E3" s="14"/>
      <c r="F3" s="14"/>
      <c r="G3" s="14"/>
      <c r="H3" s="14"/>
      <c r="I3" s="14"/>
      <c r="J3" s="14"/>
      <c r="K3" s="14"/>
      <c r="L3" s="14"/>
      <c r="M3" s="14"/>
      <c r="N3" s="14"/>
    </row>
    <row r="4" spans="1:14" x14ac:dyDescent="0.25">
      <c r="A4" s="14"/>
      <c r="B4" s="14"/>
      <c r="C4" s="14"/>
      <c r="D4" s="14"/>
      <c r="E4" s="14"/>
      <c r="F4" s="14"/>
      <c r="G4" s="14"/>
      <c r="H4" s="14"/>
      <c r="I4" s="14"/>
      <c r="J4" s="14"/>
      <c r="K4" s="14"/>
      <c r="L4" s="14"/>
      <c r="M4" s="14"/>
      <c r="N4" s="14"/>
    </row>
    <row r="5" spans="1:14" x14ac:dyDescent="0.25">
      <c r="A5" s="16"/>
      <c r="B5" s="16"/>
    </row>
    <row r="6" spans="1:14" x14ac:dyDescent="0.25">
      <c r="A6" s="16"/>
      <c r="B6" s="16"/>
    </row>
    <row r="7" spans="1:14" x14ac:dyDescent="0.25">
      <c r="A7" s="16"/>
      <c r="B7" s="16"/>
    </row>
    <row r="8" spans="1:14" x14ac:dyDescent="0.25">
      <c r="A8" s="16"/>
      <c r="B8" s="16"/>
    </row>
    <row r="9" spans="1:14" x14ac:dyDescent="0.25">
      <c r="A9" s="16"/>
      <c r="B9" s="16"/>
    </row>
    <row r="10" spans="1:14" x14ac:dyDescent="0.25">
      <c r="A10" s="16"/>
      <c r="B10" s="16"/>
    </row>
    <row r="11" spans="1:14" x14ac:dyDescent="0.25">
      <c r="A11" s="16"/>
      <c r="B11" s="16"/>
    </row>
    <row r="12" spans="1:14" x14ac:dyDescent="0.25">
      <c r="A12" s="16"/>
      <c r="B12" s="16"/>
    </row>
    <row r="13" spans="1:14" x14ac:dyDescent="0.25">
      <c r="A13" s="16"/>
      <c r="B13" s="16"/>
    </row>
    <row r="14" spans="1:14" x14ac:dyDescent="0.25">
      <c r="A14" s="16"/>
      <c r="B14" s="16"/>
    </row>
    <row r="15" spans="1:14" x14ac:dyDescent="0.25">
      <c r="A15" s="16"/>
      <c r="B15" s="16"/>
    </row>
    <row r="16" spans="1:14" x14ac:dyDescent="0.25">
      <c r="A16" s="16"/>
      <c r="B16" s="16"/>
    </row>
    <row r="17" spans="1:2" x14ac:dyDescent="0.25">
      <c r="A17" s="16"/>
      <c r="B17" s="16"/>
    </row>
    <row r="18" spans="1:2" x14ac:dyDescent="0.25">
      <c r="A18" s="16"/>
      <c r="B18" s="16"/>
    </row>
    <row r="19" spans="1:2" x14ac:dyDescent="0.25">
      <c r="A19" s="16"/>
      <c r="B19" s="16"/>
    </row>
    <row r="20" spans="1:2" x14ac:dyDescent="0.25">
      <c r="A20" s="16"/>
      <c r="B20" s="16"/>
    </row>
    <row r="21" spans="1:2" x14ac:dyDescent="0.25">
      <c r="A21" s="16"/>
      <c r="B21" s="16"/>
    </row>
    <row r="22" spans="1:2" x14ac:dyDescent="0.25">
      <c r="A22" s="16"/>
      <c r="B22" s="16"/>
    </row>
    <row r="23" spans="1:2" x14ac:dyDescent="0.25">
      <c r="A23" s="16"/>
      <c r="B23" s="16"/>
    </row>
    <row r="24" spans="1:2" x14ac:dyDescent="0.25">
      <c r="A24" s="16"/>
      <c r="B24" s="16"/>
    </row>
    <row r="25" spans="1:2" x14ac:dyDescent="0.25">
      <c r="A25" s="16"/>
      <c r="B25" s="16"/>
    </row>
    <row r="26" spans="1:2" x14ac:dyDescent="0.25">
      <c r="A26" s="16"/>
      <c r="B26" s="16"/>
    </row>
    <row r="27" spans="1:2" x14ac:dyDescent="0.25">
      <c r="A27" s="16"/>
      <c r="B27" s="16"/>
    </row>
    <row r="28" spans="1:2" x14ac:dyDescent="0.25">
      <c r="A28" s="16"/>
      <c r="B28" s="16"/>
    </row>
    <row r="29" spans="1:2" x14ac:dyDescent="0.25">
      <c r="A29" s="16"/>
      <c r="B29" s="16"/>
    </row>
    <row r="30" spans="1:2" x14ac:dyDescent="0.25">
      <c r="A30" s="16"/>
      <c r="B30" s="16"/>
    </row>
    <row r="31" spans="1:2" x14ac:dyDescent="0.25">
      <c r="A31" s="16"/>
      <c r="B31" s="16"/>
    </row>
    <row r="32" spans="1:2" x14ac:dyDescent="0.25">
      <c r="A32" s="16"/>
      <c r="B32" s="16"/>
    </row>
    <row r="33" spans="1:2" x14ac:dyDescent="0.25">
      <c r="A33" s="16"/>
      <c r="B33" s="16"/>
    </row>
    <row r="34" spans="1:2" x14ac:dyDescent="0.25">
      <c r="A34" s="16"/>
      <c r="B34" s="16"/>
    </row>
    <row r="35" spans="1:2" x14ac:dyDescent="0.25">
      <c r="A35" s="16"/>
      <c r="B35" s="16"/>
    </row>
    <row r="36" spans="1:2" x14ac:dyDescent="0.25">
      <c r="A36" s="16"/>
      <c r="B36" s="16"/>
    </row>
    <row r="37" spans="1:2" x14ac:dyDescent="0.25">
      <c r="A37" s="16"/>
      <c r="B37" s="16"/>
    </row>
    <row r="38" spans="1:2" x14ac:dyDescent="0.25">
      <c r="A38" s="16"/>
      <c r="B38" s="16"/>
    </row>
    <row r="39" spans="1:2" x14ac:dyDescent="0.25">
      <c r="A39" s="16"/>
      <c r="B39" s="16"/>
    </row>
    <row r="40" spans="1:2" x14ac:dyDescent="0.25">
      <c r="A40" s="16"/>
      <c r="B40" s="16"/>
    </row>
    <row r="41" spans="1:2" x14ac:dyDescent="0.25">
      <c r="A41" s="16"/>
      <c r="B41" s="16"/>
    </row>
    <row r="42" spans="1:2" x14ac:dyDescent="0.25">
      <c r="A42" s="16"/>
      <c r="B42" s="16"/>
    </row>
    <row r="43" spans="1:2" x14ac:dyDescent="0.25">
      <c r="A43" s="16"/>
      <c r="B43" s="16"/>
    </row>
    <row r="44" spans="1:2" x14ac:dyDescent="0.25">
      <c r="A44" s="16"/>
      <c r="B44" s="16"/>
    </row>
    <row r="45" spans="1:2" x14ac:dyDescent="0.25">
      <c r="A45" s="16"/>
      <c r="B45" s="16"/>
    </row>
    <row r="46" spans="1:2" x14ac:dyDescent="0.25">
      <c r="A46" s="16"/>
      <c r="B46" s="16"/>
    </row>
    <row r="47" spans="1:2" x14ac:dyDescent="0.25">
      <c r="A47" s="16"/>
      <c r="B47" s="16"/>
    </row>
    <row r="48" spans="1:2" x14ac:dyDescent="0.25">
      <c r="A48" s="16"/>
      <c r="B48" s="16"/>
    </row>
    <row r="49" spans="1:2" x14ac:dyDescent="0.25">
      <c r="A49" s="16"/>
      <c r="B49" s="16"/>
    </row>
    <row r="50" spans="1:2" x14ac:dyDescent="0.25">
      <c r="A50" s="16"/>
      <c r="B50" s="16"/>
    </row>
    <row r="51" spans="1:2" x14ac:dyDescent="0.25">
      <c r="A51" s="16"/>
      <c r="B51" s="16"/>
    </row>
  </sheetData>
  <mergeCells count="2">
    <mergeCell ref="A1:N4"/>
    <mergeCell ref="A5:B5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Management Data</vt:lpstr>
      <vt:lpstr>Working Sheet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Seemanto Saha</dc:creator>
  <cp:lastModifiedBy>firdaus ramadhan</cp:lastModifiedBy>
  <dcterms:created xsi:type="dcterms:W3CDTF">2024-02-19T11:44:19Z</dcterms:created>
  <dcterms:modified xsi:type="dcterms:W3CDTF">2026-06-03T11:08:09Z</dcterms:modified>
</cp:coreProperties>
</file>