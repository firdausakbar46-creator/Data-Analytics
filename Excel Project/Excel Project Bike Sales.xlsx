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wnloads\data analytics project 1\Excel\tutorial\"/>
    </mc:Choice>
  </mc:AlternateContent>
  <xr:revisionPtr revIDLastSave="0" documentId="8_{1902337B-710A-45FE-AA05-CF2BE04CD9D0}" xr6:coauthVersionLast="47" xr6:coauthVersionMax="47" xr10:uidLastSave="{00000000-0000-0000-0000-000000000000}"/>
  <bookViews>
    <workbookView xWindow="-120" yWindow="-120" windowWidth="20730" windowHeight="11760" activeTab="1" xr2:uid="{00000000-000D-0000-FFFF-FFFF00000000}"/>
  </bookViews>
  <sheets>
    <sheet name="bike_buyers" sheetId="1" r:id="rId1"/>
    <sheet name="Dashboard" sheetId="2" r:id="rId2"/>
    <sheet name="Pivot Table" sheetId="3" r:id="rId3"/>
    <sheet name="Working Sheets" sheetId="4" r:id="rId4"/>
  </sheets>
  <definedNames>
    <definedName name="_xlnm._FilterDatabase" localSheetId="0" hidden="1">bike_buyers!$A$1:$M$1001</definedName>
    <definedName name="_xlnm._FilterDatabase" localSheetId="3" hidden="1">'Working Sheets'!$A$1:$N$1001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<sst xmlns="http://schemas.openxmlformats.org/spreadsheetml/2006/main" count="16274" uniqueCount="51">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</sst>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 fontId="0" fillId="0" borderId="0" xfId="0" applyNumberFormat="1"/>
    <xf numFmtId="17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a:t>
            </a:r>
            <a:r>
              <a:rPr lang="en-ID" baseline="0"/>
              <a:t> Income Per Purchase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0</c:formatCode>
                <c:ptCount val="2"/>
                <c:pt idx="0">
                  <c:v>77142.857142857145</c:v>
                </c:pt>
                <c:pt idx="1">
                  <c:v>67142.857142857145</c:v>
                </c:pt>
              </c:numCache>
            </c:numRef>
          </c:val>
          <c:extLst>
            <c:ext xmlns:c16="http://schemas.microsoft.com/office/drawing/2014/chart" uri="{C3380CC4-5D6E-409C-BE32-E72D297353CC}">
              <c16:uniqueId val="{00000000-DA58-4669-826A-13718FAB2FB4}"/>
            </c:ext>
          </c:extLst>
        </c:ser>
        <c:ser>
          <c:idx val="1"/>
          <c:order val="1"/>
          <c:tx>
            <c:strRef>
              <c:f>'Pivot Table'!$C$2:$C$3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Table'!$C$4:$C$6</c:f>
              <c:numCache>
                <c:formatCode>0</c:formatCode>
                <c:ptCount val="2"/>
                <c:pt idx="0">
                  <c:v>63947.368421052633</c:v>
                </c:pt>
                <c:pt idx="1">
                  <c:v>63962.264150943396</c:v>
                </c:pt>
              </c:numCache>
            </c:numRef>
          </c:val>
          <c:extLst>
            <c:ext xmlns:c16="http://schemas.microsoft.com/office/drawing/2014/chart" uri="{C3380CC4-5D6E-409C-BE32-E72D297353CC}">
              <c16:uniqueId val="{00000001-DA58-4669-826A-13718FAB2FB4}"/>
            </c:ext>
          </c:extLst>
        </c:ser>
        <c:dLbls>
          <c:dLblPos val="outEnd"/>
          <c:showLegendKey val="0"/>
          <c:showVal val="1"/>
          <c:showCatName val="0"/>
          <c:showSerName val="0"/>
          <c:showPercent val="0"/>
          <c:showBubbleSize val="0"/>
        </c:dLbls>
        <c:gapWidth val="219"/>
        <c:overlap val="-27"/>
        <c:axId val="1575020480"/>
        <c:axId val="1693590816"/>
      </c:barChart>
      <c:catAx>
        <c:axId val="1575020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90816"/>
        <c:crosses val="autoZero"/>
        <c:auto val="1"/>
        <c:lblAlgn val="ctr"/>
        <c:lblOffset val="100"/>
        <c:noMultiLvlLbl val="0"/>
      </c:catAx>
      <c:valAx>
        <c:axId val="1693590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0204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Commute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FE19-452C-9773-2D9575497E3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FE19-452C-9773-2D9575497E35}"/>
            </c:ext>
          </c:extLst>
        </c:ser>
        <c:dLbls>
          <c:showLegendKey val="0"/>
          <c:showVal val="0"/>
          <c:showCatName val="0"/>
          <c:showSerName val="0"/>
          <c:showPercent val="0"/>
          <c:showBubbleSize val="0"/>
        </c:dLbls>
        <c:smooth val="0"/>
        <c:axId val="1836924528"/>
        <c:axId val="1836904848"/>
      </c:lineChart>
      <c:catAx>
        <c:axId val="1836924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Commute</a:t>
                </a:r>
                <a:r>
                  <a:rPr lang="en-ID" baseline="0"/>
                  <a:t> Distance</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904848"/>
        <c:crosses val="autoZero"/>
        <c:auto val="1"/>
        <c:lblAlgn val="ctr"/>
        <c:lblOffset val="100"/>
        <c:noMultiLvlLbl val="0"/>
      </c:catAx>
      <c:valAx>
        <c:axId val="183690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9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Age Brackets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1</c:v>
                </c:pt>
                <c:pt idx="1">
                  <c:v>39</c:v>
                </c:pt>
                <c:pt idx="2">
                  <c:v>9</c:v>
                </c:pt>
              </c:numCache>
            </c:numRef>
          </c:val>
          <c:smooth val="0"/>
          <c:extLst>
            <c:ext xmlns:c16="http://schemas.microsoft.com/office/drawing/2014/chart" uri="{C3380CC4-5D6E-409C-BE32-E72D297353CC}">
              <c16:uniqueId val="{00000000-7A44-4DEF-8D9F-F011AC672B0C}"/>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c:v>
                </c:pt>
                <c:pt idx="1">
                  <c:v>75</c:v>
                </c:pt>
                <c:pt idx="2">
                  <c:v>13</c:v>
                </c:pt>
              </c:numCache>
            </c:numRef>
          </c:val>
          <c:smooth val="0"/>
          <c:extLst>
            <c:ext xmlns:c16="http://schemas.microsoft.com/office/drawing/2014/chart" uri="{C3380CC4-5D6E-409C-BE32-E72D297353CC}">
              <c16:uniqueId val="{00000001-7A44-4DEF-8D9F-F011AC672B0C}"/>
            </c:ext>
          </c:extLst>
        </c:ser>
        <c:dLbls>
          <c:showLegendKey val="0"/>
          <c:showVal val="0"/>
          <c:showCatName val="0"/>
          <c:showSerName val="0"/>
          <c:showPercent val="0"/>
          <c:showBubbleSize val="0"/>
        </c:dLbls>
        <c:marker val="1"/>
        <c:smooth val="0"/>
        <c:axId val="1847988960"/>
        <c:axId val="1847989920"/>
      </c:lineChart>
      <c:catAx>
        <c:axId val="1847988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a:t>
                </a:r>
                <a:r>
                  <a:rPr lang="en-ID" baseline="0"/>
                  <a:t> Bracket</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989920"/>
        <c:crosses val="autoZero"/>
        <c:auto val="1"/>
        <c:lblAlgn val="ctr"/>
        <c:lblOffset val="100"/>
        <c:noMultiLvlLbl val="0"/>
      </c:catAx>
      <c:valAx>
        <c:axId val="184798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98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a:t>
            </a:r>
            <a:r>
              <a:rPr lang="en-ID" baseline="0"/>
              <a:t> Income Per Purchase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0</c:formatCode>
                <c:ptCount val="2"/>
                <c:pt idx="0">
                  <c:v>77142.857142857145</c:v>
                </c:pt>
                <c:pt idx="1">
                  <c:v>67142.857142857145</c:v>
                </c:pt>
              </c:numCache>
            </c:numRef>
          </c:val>
          <c:extLst>
            <c:ext xmlns:c16="http://schemas.microsoft.com/office/drawing/2014/chart" uri="{C3380CC4-5D6E-409C-BE32-E72D297353CC}">
              <c16:uniqueId val="{00000000-E2AF-4254-92B8-94669FEFC00E}"/>
            </c:ext>
          </c:extLst>
        </c:ser>
        <c:ser>
          <c:idx val="1"/>
          <c:order val="1"/>
          <c:tx>
            <c:strRef>
              <c:f>'Pivot Table'!$C$2:$C$3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Table'!$C$4:$C$6</c:f>
              <c:numCache>
                <c:formatCode>0</c:formatCode>
                <c:ptCount val="2"/>
                <c:pt idx="0">
                  <c:v>63947.368421052633</c:v>
                </c:pt>
                <c:pt idx="1">
                  <c:v>63962.264150943396</c:v>
                </c:pt>
              </c:numCache>
            </c:numRef>
          </c:val>
          <c:extLst>
            <c:ext xmlns:c16="http://schemas.microsoft.com/office/drawing/2014/chart" uri="{C3380CC4-5D6E-409C-BE32-E72D297353CC}">
              <c16:uniqueId val="{00000001-E2AF-4254-92B8-94669FEFC00E}"/>
            </c:ext>
          </c:extLst>
        </c:ser>
        <c:dLbls>
          <c:dLblPos val="outEnd"/>
          <c:showLegendKey val="0"/>
          <c:showVal val="1"/>
          <c:showCatName val="0"/>
          <c:showSerName val="0"/>
          <c:showPercent val="0"/>
          <c:showBubbleSize val="0"/>
        </c:dLbls>
        <c:gapWidth val="219"/>
        <c:overlap val="-27"/>
        <c:axId val="1575020480"/>
        <c:axId val="1693590816"/>
      </c:barChart>
      <c:catAx>
        <c:axId val="1575020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90816"/>
        <c:crosses val="autoZero"/>
        <c:auto val="1"/>
        <c:lblAlgn val="ctr"/>
        <c:lblOffset val="100"/>
        <c:noMultiLvlLbl val="0"/>
      </c:catAx>
      <c:valAx>
        <c:axId val="1693590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0204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Commute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81A9-4800-A69B-16E78851938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81A9-4800-A69B-16E78851938C}"/>
            </c:ext>
          </c:extLst>
        </c:ser>
        <c:dLbls>
          <c:showLegendKey val="0"/>
          <c:showVal val="0"/>
          <c:showCatName val="0"/>
          <c:showSerName val="0"/>
          <c:showPercent val="0"/>
          <c:showBubbleSize val="0"/>
        </c:dLbls>
        <c:smooth val="0"/>
        <c:axId val="1836924528"/>
        <c:axId val="1836904848"/>
      </c:lineChart>
      <c:catAx>
        <c:axId val="1836924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Commute</a:t>
                </a:r>
                <a:r>
                  <a:rPr lang="en-ID" baseline="0"/>
                  <a:t> Distance</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904848"/>
        <c:crosses val="autoZero"/>
        <c:auto val="1"/>
        <c:lblAlgn val="ctr"/>
        <c:lblOffset val="100"/>
        <c:noMultiLvlLbl val="0"/>
      </c:catAx>
      <c:valAx>
        <c:axId val="183690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9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Age Brackets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1</c:v>
                </c:pt>
                <c:pt idx="1">
                  <c:v>39</c:v>
                </c:pt>
                <c:pt idx="2">
                  <c:v>9</c:v>
                </c:pt>
              </c:numCache>
            </c:numRef>
          </c:val>
          <c:smooth val="0"/>
          <c:extLst>
            <c:ext xmlns:c16="http://schemas.microsoft.com/office/drawing/2014/chart" uri="{C3380CC4-5D6E-409C-BE32-E72D297353CC}">
              <c16:uniqueId val="{00000000-FFC3-45C4-AFFA-2991061DC849}"/>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c:v>
                </c:pt>
                <c:pt idx="1">
                  <c:v>75</c:v>
                </c:pt>
                <c:pt idx="2">
                  <c:v>13</c:v>
                </c:pt>
              </c:numCache>
            </c:numRef>
          </c:val>
          <c:smooth val="0"/>
          <c:extLst>
            <c:ext xmlns:c16="http://schemas.microsoft.com/office/drawing/2014/chart" uri="{C3380CC4-5D6E-409C-BE32-E72D297353CC}">
              <c16:uniqueId val="{00000001-FFC3-45C4-AFFA-2991061DC849}"/>
            </c:ext>
          </c:extLst>
        </c:ser>
        <c:dLbls>
          <c:showLegendKey val="0"/>
          <c:showVal val="0"/>
          <c:showCatName val="0"/>
          <c:showSerName val="0"/>
          <c:showPercent val="0"/>
          <c:showBubbleSize val="0"/>
        </c:dLbls>
        <c:marker val="1"/>
        <c:smooth val="0"/>
        <c:axId val="1847988960"/>
        <c:axId val="1847989920"/>
      </c:lineChart>
      <c:catAx>
        <c:axId val="1847988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a:t>
                </a:r>
                <a:r>
                  <a:rPr lang="en-ID" baseline="0"/>
                  <a:t> Bracket</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989920"/>
        <c:crosses val="autoZero"/>
        <c:auto val="1"/>
        <c:lblAlgn val="ctr"/>
        <c:lblOffset val="100"/>
        <c:noMultiLvlLbl val="0"/>
      </c:catAx>
      <c:valAx>
        <c:axId val="184798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98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177998</xdr:colOff>
      <xdr:row>6</xdr:row>
      <xdr:rowOff>23813</xdr:rowOff>
    </xdr:from>
    <xdr:to>
      <xdr:col>8</xdr:col>
      <xdr:colOff>578047</xdr:colOff>
      <xdr:row>20</xdr:row>
      <xdr:rowOff>33338</xdr:rowOff>
    </xdr:to>
    <xdr:graphicFrame macro="">
      <xdr:nvGraphicFramePr>
        <xdr:cNvPr id="2" name="Chart 1">
          <a:extLst>
            <a:ext uri="{FF2B5EF4-FFF2-40B4-BE49-F238E27FC236}">
              <a16:creationId xmlns:a16="http://schemas.microsoft.com/office/drawing/2014/main" id="{D51DFE76-90B7-45A7-901C-BA264271E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193476</xdr:colOff>
      <xdr:row>20</xdr:row>
      <xdr:rowOff>87511</xdr:rowOff>
    </xdr:from>
    <xdr:to>
      <xdr:col>14</xdr:col>
      <xdr:colOff>595311</xdr:colOff>
      <xdr:row>34</xdr:row>
      <xdr:rowOff>58936</xdr:rowOff>
    </xdr:to>
    <xdr:graphicFrame macro="">
      <xdr:nvGraphicFramePr>
        <xdr:cNvPr id="3" name="Chart 2">
          <a:extLst>
            <a:ext uri="{FF2B5EF4-FFF2-40B4-BE49-F238E27FC236}">
              <a16:creationId xmlns:a16="http://schemas.microsoft.com/office/drawing/2014/main" id="{21F1AE50-E2CC-4BBF-8EE8-0E679877D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31551</xdr:colOff>
      <xdr:row>6</xdr:row>
      <xdr:rowOff>23813</xdr:rowOff>
    </xdr:from>
    <xdr:to>
      <xdr:col>15</xdr:col>
      <xdr:colOff>2976</xdr:colOff>
      <xdr:row>20</xdr:row>
      <xdr:rowOff>14288</xdr:rowOff>
    </xdr:to>
    <xdr:graphicFrame macro="">
      <xdr:nvGraphicFramePr>
        <xdr:cNvPr id="4" name="Chart 3">
          <a:extLst>
            <a:ext uri="{FF2B5EF4-FFF2-40B4-BE49-F238E27FC236}">
              <a16:creationId xmlns:a16="http://schemas.microsoft.com/office/drawing/2014/main" id="{B5B4323F-DB17-419D-8D84-6D05F8DCD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112514</xdr:colOff>
      <xdr:row>6</xdr:row>
      <xdr:rowOff>19647</xdr:rowOff>
    </xdr:from>
    <xdr:to>
      <xdr:col>3</xdr:col>
      <xdr:colOff>110728</xdr:colOff>
      <xdr:row>11</xdr:row>
      <xdr:rowOff>59532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2E0A622-BEBC-C28F-6B52-7E76DCF009D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2514" y="1180506"/>
              <a:ext cx="1828800" cy="100726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82749</xdr:colOff>
      <xdr:row>19</xdr:row>
      <xdr:rowOff>34527</xdr:rowOff>
    </xdr:from>
    <xdr:to>
      <xdr:col>3</xdr:col>
      <xdr:colOff>80963</xdr:colOff>
      <xdr:row>28</xdr:row>
      <xdr:rowOff>14883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E0D0DBF-43B6-EBB3-55E1-79910A82906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2749" y="3710582"/>
              <a:ext cx="1828800" cy="172164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97632</xdr:colOff>
      <xdr:row>11</xdr:row>
      <xdr:rowOff>168474</xdr:rowOff>
    </xdr:from>
    <xdr:to>
      <xdr:col>3</xdr:col>
      <xdr:colOff>95846</xdr:colOff>
      <xdr:row>18</xdr:row>
      <xdr:rowOff>119063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B8BB194-EE0D-962E-2C4E-5F1A0798D5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632" y="2296716"/>
              <a:ext cx="1828800" cy="13049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104775</xdr:colOff>
      <xdr:row>1</xdr:row>
      <xdr:rowOff>19049</xdr:rowOff>
    </xdr:from>
    <xdr:to>
      <xdr:col>11</xdr:col>
      <xdr:colOff>390525</xdr:colOff>
      <xdr:row>17</xdr:row>
      <xdr:rowOff>76200</xdr:rowOff>
    </xdr:to>
    <xdr:graphicFrame macro="">
      <xdr:nvGraphicFramePr>
        <xdr:cNvPr id="2" name="Chart 1">
          <a:extLst>
            <a:ext uri="{FF2B5EF4-FFF2-40B4-BE49-F238E27FC236}">
              <a16:creationId xmlns:a16="http://schemas.microsoft.com/office/drawing/2014/main" id="{08735734-E199-C343-E572-10E98DF2C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18</xdr:row>
      <xdr:rowOff>171450</xdr:rowOff>
    </xdr:from>
    <xdr:to>
      <xdr:col>12</xdr:col>
      <xdr:colOff>38100</xdr:colOff>
      <xdr:row>33</xdr:row>
      <xdr:rowOff>57150</xdr:rowOff>
    </xdr:to>
    <xdr:graphicFrame macro="">
      <xdr:nvGraphicFramePr>
        <xdr:cNvPr id="3" name="Chart 2">
          <a:extLst>
            <a:ext uri="{FF2B5EF4-FFF2-40B4-BE49-F238E27FC236}">
              <a16:creationId xmlns:a16="http://schemas.microsoft.com/office/drawing/2014/main" id="{62D18D7A-7FDD-4A6B-612E-895C73D71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304800</xdr:colOff>
      <xdr:row>36</xdr:row>
      <xdr:rowOff>9525</xdr:rowOff>
    </xdr:from>
    <xdr:to>
      <xdr:col>12</xdr:col>
      <xdr:colOff>0</xdr:colOff>
      <xdr:row>50</xdr:row>
      <xdr:rowOff>85725</xdr:rowOff>
    </xdr:to>
    <xdr:graphicFrame macro="">
      <xdr:nvGraphicFramePr>
        <xdr:cNvPr id="4" name="Chart 3">
          <a:extLst>
            <a:ext uri="{FF2B5EF4-FFF2-40B4-BE49-F238E27FC236}">
              <a16:creationId xmlns:a16="http://schemas.microsoft.com/office/drawing/2014/main" id="{20C4C8BC-AF24-1705-E5BF-51B8D5B75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2.602349074077" createdVersion="8" refreshedVersion="8" minRefreshableVersion="3" recordCount="1000" xr:uid="{27A31742-FD16-4DDE-AC86-09D08D927EB0}">
  <cacheSource type="worksheet">
    <worksheetSource ref="A1:N1001" sheet="Working Sheet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32669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46C57C-F224-4C1E-BB91-71A15AD53DFE}"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5:D92" firstHeaderRow="1" firstDataRow="2" firstDataCol="1"/>
  <pivotFields count="14">
    <pivotField showAll="0"/>
    <pivotField showAll="0">
      <items count="3">
        <item h="1" x="0"/>
        <item x="1"/>
        <item t="default"/>
      </items>
    </pivotField>
    <pivotField showAll="0"/>
    <pivotField numFmtId="170"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36">
    <i>
      <x/>
    </i>
    <i>
      <x v="3"/>
    </i>
    <i>
      <x v="5"/>
    </i>
    <i>
      <x v="6"/>
    </i>
    <i>
      <x v="7"/>
    </i>
    <i>
      <x v="8"/>
    </i>
    <i>
      <x v="9"/>
    </i>
    <i>
      <x v="10"/>
    </i>
    <i>
      <x v="11"/>
    </i>
    <i>
      <x v="12"/>
    </i>
    <i>
      <x v="13"/>
    </i>
    <i>
      <x v="14"/>
    </i>
    <i>
      <x v="15"/>
    </i>
    <i>
      <x v="16"/>
    </i>
    <i>
      <x v="17"/>
    </i>
    <i>
      <x v="18"/>
    </i>
    <i>
      <x v="19"/>
    </i>
    <i>
      <x v="20"/>
    </i>
    <i>
      <x v="21"/>
    </i>
    <i>
      <x v="22"/>
    </i>
    <i>
      <x v="23"/>
    </i>
    <i>
      <x v="26"/>
    </i>
    <i>
      <x v="27"/>
    </i>
    <i>
      <x v="28"/>
    </i>
    <i>
      <x v="32"/>
    </i>
    <i>
      <x v="33"/>
    </i>
    <i>
      <x v="34"/>
    </i>
    <i>
      <x v="35"/>
    </i>
    <i>
      <x v="36"/>
    </i>
    <i>
      <x v="37"/>
    </i>
    <i>
      <x v="38"/>
    </i>
    <i>
      <x v="40"/>
    </i>
    <i>
      <x v="41"/>
    </i>
    <i>
      <x v="42"/>
    </i>
    <i>
      <x v="4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B83D81-748B-4284-834C-28C1B9C5B055}"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h="1" x="0"/>
        <item x="1"/>
        <item t="default"/>
      </items>
    </pivotField>
    <pivotField showAll="0"/>
    <pivotField numFmtId="170"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5A5DB1-936D-417C-9038-04993A6AA52E}"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h="1" x="0"/>
        <item x="1"/>
        <item t="default"/>
      </items>
    </pivotField>
    <pivotField showAll="0"/>
    <pivotField numFmtId="170"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430E45-384A-4B4E-89EA-CD78B2753437}"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70"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EFD8FF8-FB8B-43F0-9665-D854E4D1CADF}" sourceName="Marital Status">
  <pivotTables>
    <pivotTable tabId="3" name="PivotTable1"/>
    <pivotTable tabId="3" name="PivotTable2"/>
    <pivotTable tabId="3" name="PivotTable4"/>
    <pivotTable tabId="3" name="PivotTable5"/>
  </pivotTables>
  <data>
    <tabular pivotCacheId="163266952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0394D2F-594B-44E3-AF15-8C9EDA1D170F}" sourceName="Education">
  <pivotTables>
    <pivotTable tabId="3" name="PivotTable1"/>
    <pivotTable tabId="3" name="PivotTable2"/>
    <pivotTable tabId="3" name="PivotTable4"/>
    <pivotTable tabId="3" name="PivotTable5"/>
  </pivotTables>
  <data>
    <tabular pivotCacheId="163266952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559321-124C-48F0-AE83-0597A94EE827}" sourceName="Region">
  <pivotTables>
    <pivotTable tabId="3" name="PivotTable1"/>
    <pivotTable tabId="3" name="PivotTable2"/>
    <pivotTable tabId="3" name="PivotTable4"/>
    <pivotTable tabId="3" name="PivotTable5"/>
  </pivotTables>
  <data>
    <tabular pivotCacheId="16326695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26A5E82-FB39-48B5-8F8A-71919B43BD03}" cache="Slicer_Marital_Status" caption="Marital Status" rowHeight="241300"/>
  <slicer name="Education" xr10:uid="{825A5B32-1843-4977-BB0F-FD0442A3D6C9}" cache="Slicer_Education" caption="Education" rowHeight="241300"/>
  <slicer name="Region" xr10:uid="{3165ED69-CCB0-4376-A9C0-5713EFB8B28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21" sqref="F2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8DE6D-D1E6-41DC-8990-22C2EC3716D3}">
  <dimension ref="A1:O7"/>
  <sheetViews>
    <sheetView showGridLines="0" tabSelected="1" zoomScale="64" zoomScaleNormal="64" workbookViewId="0">
      <selection activeCell="R23" sqref="R23:S23"/>
    </sheetView>
  </sheetViews>
  <sheetFormatPr defaultRowHeight="15" x14ac:dyDescent="0.25"/>
  <sheetData>
    <row r="1" spans="1:15" x14ac:dyDescent="0.25">
      <c r="A1" s="9" t="s">
        <v>50</v>
      </c>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row r="4" spans="1:15" x14ac:dyDescent="0.25">
      <c r="A4" s="10"/>
      <c r="B4" s="10"/>
      <c r="C4" s="10"/>
      <c r="D4" s="10"/>
      <c r="E4" s="10"/>
      <c r="F4" s="10"/>
      <c r="G4" s="10"/>
      <c r="H4" s="10"/>
      <c r="I4" s="10"/>
      <c r="J4" s="10"/>
      <c r="K4" s="10"/>
      <c r="L4" s="10"/>
      <c r="M4" s="10"/>
      <c r="N4" s="10"/>
      <c r="O4" s="10"/>
    </row>
    <row r="5" spans="1:15" x14ac:dyDescent="0.25">
      <c r="A5" s="10"/>
      <c r="B5" s="10"/>
      <c r="C5" s="10"/>
      <c r="D5" s="10"/>
      <c r="E5" s="10"/>
      <c r="F5" s="10"/>
      <c r="G5" s="10"/>
      <c r="H5" s="10"/>
      <c r="I5" s="10"/>
      <c r="J5" s="10"/>
      <c r="K5" s="10"/>
      <c r="L5" s="10"/>
      <c r="M5" s="10"/>
      <c r="N5" s="10"/>
      <c r="O5" s="10"/>
    </row>
    <row r="6" spans="1:15" x14ac:dyDescent="0.25">
      <c r="A6" s="10"/>
      <c r="B6" s="10"/>
      <c r="C6" s="10"/>
      <c r="D6" s="10"/>
      <c r="E6" s="10"/>
      <c r="F6" s="10"/>
      <c r="G6" s="10"/>
      <c r="H6" s="10"/>
      <c r="I6" s="10"/>
      <c r="J6" s="10"/>
      <c r="K6" s="10"/>
      <c r="L6" s="10"/>
      <c r="M6" s="10"/>
      <c r="N6" s="10"/>
      <c r="O6" s="10"/>
    </row>
    <row r="7" spans="1:15" x14ac:dyDescent="0.25">
      <c r="F7"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9CCE8-645B-455E-A3CD-DF06DADE3937}">
  <dimension ref="A2:D92"/>
  <sheetViews>
    <sheetView topLeftCell="A25" workbookViewId="0">
      <selection activeCell="M34" sqref="M3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2" spans="1:4" x14ac:dyDescent="0.25">
      <c r="A2" s="5" t="s">
        <v>43</v>
      </c>
      <c r="B2" s="5" t="s">
        <v>44</v>
      </c>
    </row>
    <row r="3" spans="1:4" x14ac:dyDescent="0.25">
      <c r="A3" s="5" t="s">
        <v>41</v>
      </c>
      <c r="B3" t="s">
        <v>18</v>
      </c>
      <c r="C3" t="s">
        <v>15</v>
      </c>
      <c r="D3" t="s">
        <v>42</v>
      </c>
    </row>
    <row r="4" spans="1:4" x14ac:dyDescent="0.25">
      <c r="A4" s="6" t="s">
        <v>38</v>
      </c>
      <c r="B4" s="3">
        <v>77142.857142857145</v>
      </c>
      <c r="C4" s="3">
        <v>63947.368421052633</v>
      </c>
      <c r="D4" s="3">
        <v>69545.454545454544</v>
      </c>
    </row>
    <row r="5" spans="1:4" x14ac:dyDescent="0.25">
      <c r="A5" s="6" t="s">
        <v>39</v>
      </c>
      <c r="B5" s="3">
        <v>67142.857142857145</v>
      </c>
      <c r="C5" s="3">
        <v>63962.264150943396</v>
      </c>
      <c r="D5" s="3">
        <v>64864.864864864867</v>
      </c>
    </row>
    <row r="6" spans="1:4" x14ac:dyDescent="0.25">
      <c r="A6" s="6" t="s">
        <v>42</v>
      </c>
      <c r="B6" s="3">
        <v>72857.142857142855</v>
      </c>
      <c r="C6" s="3">
        <v>63956.043956043955</v>
      </c>
      <c r="D6" s="3">
        <v>67071.428571428565</v>
      </c>
    </row>
    <row r="20" spans="1:4" x14ac:dyDescent="0.25">
      <c r="A20" s="5" t="s">
        <v>45</v>
      </c>
      <c r="B20" s="5" t="s">
        <v>44</v>
      </c>
    </row>
    <row r="21" spans="1:4" x14ac:dyDescent="0.25">
      <c r="A21" s="5" t="s">
        <v>41</v>
      </c>
      <c r="B21" t="s">
        <v>18</v>
      </c>
      <c r="C21" t="s">
        <v>15</v>
      </c>
      <c r="D21" t="s">
        <v>42</v>
      </c>
    </row>
    <row r="22" spans="1:4" x14ac:dyDescent="0.25">
      <c r="A22" s="6" t="s">
        <v>16</v>
      </c>
      <c r="B22" s="7">
        <v>12</v>
      </c>
      <c r="C22" s="7">
        <v>36</v>
      </c>
      <c r="D22" s="7">
        <v>48</v>
      </c>
    </row>
    <row r="23" spans="1:4" x14ac:dyDescent="0.25">
      <c r="A23" s="6" t="s">
        <v>26</v>
      </c>
      <c r="B23" s="7">
        <v>5</v>
      </c>
      <c r="C23" s="7">
        <v>6</v>
      </c>
      <c r="D23" s="7">
        <v>11</v>
      </c>
    </row>
    <row r="24" spans="1:4" x14ac:dyDescent="0.25">
      <c r="A24" s="6" t="s">
        <v>22</v>
      </c>
      <c r="B24" s="7">
        <v>9</v>
      </c>
      <c r="C24" s="7">
        <v>25</v>
      </c>
      <c r="D24" s="7">
        <v>34</v>
      </c>
    </row>
    <row r="25" spans="1:4" x14ac:dyDescent="0.25">
      <c r="A25" s="6" t="s">
        <v>23</v>
      </c>
      <c r="B25" s="7">
        <v>6</v>
      </c>
      <c r="C25" s="7">
        <v>15</v>
      </c>
      <c r="D25" s="7">
        <v>21</v>
      </c>
    </row>
    <row r="26" spans="1:4" x14ac:dyDescent="0.25">
      <c r="A26" s="6" t="s">
        <v>46</v>
      </c>
      <c r="B26" s="7">
        <v>17</v>
      </c>
      <c r="C26" s="7">
        <v>9</v>
      </c>
      <c r="D26" s="7">
        <v>26</v>
      </c>
    </row>
    <row r="27" spans="1:4" x14ac:dyDescent="0.25">
      <c r="A27" s="6" t="s">
        <v>42</v>
      </c>
      <c r="B27" s="7">
        <v>49</v>
      </c>
      <c r="C27" s="7">
        <v>91</v>
      </c>
      <c r="D27" s="7">
        <v>140</v>
      </c>
    </row>
    <row r="37" spans="1:4" x14ac:dyDescent="0.25">
      <c r="A37" s="5" t="s">
        <v>45</v>
      </c>
      <c r="B37" s="5" t="s">
        <v>44</v>
      </c>
    </row>
    <row r="38" spans="1:4" x14ac:dyDescent="0.25">
      <c r="A38" s="5" t="s">
        <v>41</v>
      </c>
      <c r="B38" t="s">
        <v>18</v>
      </c>
      <c r="C38" t="s">
        <v>15</v>
      </c>
      <c r="D38" t="s">
        <v>42</v>
      </c>
    </row>
    <row r="39" spans="1:4" x14ac:dyDescent="0.25">
      <c r="A39" s="6" t="s">
        <v>47</v>
      </c>
      <c r="B39" s="7">
        <v>1</v>
      </c>
      <c r="C39" s="7">
        <v>3</v>
      </c>
      <c r="D39" s="7">
        <v>4</v>
      </c>
    </row>
    <row r="40" spans="1:4" x14ac:dyDescent="0.25">
      <c r="A40" s="6" t="s">
        <v>48</v>
      </c>
      <c r="B40" s="7">
        <v>39</v>
      </c>
      <c r="C40" s="7">
        <v>75</v>
      </c>
      <c r="D40" s="7">
        <v>114</v>
      </c>
    </row>
    <row r="41" spans="1:4" x14ac:dyDescent="0.25">
      <c r="A41" s="6" t="s">
        <v>49</v>
      </c>
      <c r="B41" s="7">
        <v>9</v>
      </c>
      <c r="C41" s="7">
        <v>13</v>
      </c>
      <c r="D41" s="7">
        <v>22</v>
      </c>
    </row>
    <row r="42" spans="1:4" x14ac:dyDescent="0.25">
      <c r="A42" s="6" t="s">
        <v>42</v>
      </c>
      <c r="B42" s="7">
        <v>49</v>
      </c>
      <c r="C42" s="7">
        <v>91</v>
      </c>
      <c r="D42" s="7">
        <v>140</v>
      </c>
    </row>
    <row r="55" spans="1:4" x14ac:dyDescent="0.25">
      <c r="A55" s="5" t="s">
        <v>45</v>
      </c>
      <c r="B55" s="5" t="s">
        <v>44</v>
      </c>
    </row>
    <row r="56" spans="1:4" x14ac:dyDescent="0.25">
      <c r="A56" s="5" t="s">
        <v>41</v>
      </c>
      <c r="B56" t="s">
        <v>18</v>
      </c>
      <c r="C56" t="s">
        <v>15</v>
      </c>
      <c r="D56" t="s">
        <v>42</v>
      </c>
    </row>
    <row r="57" spans="1:4" x14ac:dyDescent="0.25">
      <c r="A57" s="6">
        <v>25</v>
      </c>
      <c r="B57" s="7"/>
      <c r="C57" s="7">
        <v>1</v>
      </c>
      <c r="D57" s="7">
        <v>1</v>
      </c>
    </row>
    <row r="58" spans="1:4" x14ac:dyDescent="0.25">
      <c r="A58" s="6">
        <v>28</v>
      </c>
      <c r="B58" s="7"/>
      <c r="C58" s="7">
        <v>1</v>
      </c>
      <c r="D58" s="7">
        <v>1</v>
      </c>
    </row>
    <row r="59" spans="1:4" x14ac:dyDescent="0.25">
      <c r="A59" s="6">
        <v>30</v>
      </c>
      <c r="B59" s="7">
        <v>1</v>
      </c>
      <c r="C59" s="7">
        <v>1</v>
      </c>
      <c r="D59" s="7">
        <v>2</v>
      </c>
    </row>
    <row r="60" spans="1:4" x14ac:dyDescent="0.25">
      <c r="A60" s="6">
        <v>31</v>
      </c>
      <c r="B60" s="7">
        <v>3</v>
      </c>
      <c r="C60" s="7">
        <v>1</v>
      </c>
      <c r="D60" s="7">
        <v>4</v>
      </c>
    </row>
    <row r="61" spans="1:4" x14ac:dyDescent="0.25">
      <c r="A61" s="6">
        <v>32</v>
      </c>
      <c r="B61" s="7">
        <v>2</v>
      </c>
      <c r="C61" s="7"/>
      <c r="D61" s="7">
        <v>2</v>
      </c>
    </row>
    <row r="62" spans="1:4" x14ac:dyDescent="0.25">
      <c r="A62" s="6">
        <v>33</v>
      </c>
      <c r="B62" s="7">
        <v>1</v>
      </c>
      <c r="C62" s="7">
        <v>1</v>
      </c>
      <c r="D62" s="7">
        <v>2</v>
      </c>
    </row>
    <row r="63" spans="1:4" x14ac:dyDescent="0.25">
      <c r="A63" s="6">
        <v>34</v>
      </c>
      <c r="B63" s="7"/>
      <c r="C63" s="7">
        <v>2</v>
      </c>
      <c r="D63" s="7">
        <v>2</v>
      </c>
    </row>
    <row r="64" spans="1:4" x14ac:dyDescent="0.25">
      <c r="A64" s="6">
        <v>35</v>
      </c>
      <c r="B64" s="7">
        <v>2</v>
      </c>
      <c r="C64" s="7">
        <v>1</v>
      </c>
      <c r="D64" s="7">
        <v>3</v>
      </c>
    </row>
    <row r="65" spans="1:4" x14ac:dyDescent="0.25">
      <c r="A65" s="6">
        <v>36</v>
      </c>
      <c r="B65" s="7">
        <v>2</v>
      </c>
      <c r="C65" s="7">
        <v>4</v>
      </c>
      <c r="D65" s="7">
        <v>6</v>
      </c>
    </row>
    <row r="66" spans="1:4" x14ac:dyDescent="0.25">
      <c r="A66" s="6">
        <v>37</v>
      </c>
      <c r="B66" s="7"/>
      <c r="C66" s="7">
        <v>10</v>
      </c>
      <c r="D66" s="7">
        <v>10</v>
      </c>
    </row>
    <row r="67" spans="1:4" x14ac:dyDescent="0.25">
      <c r="A67" s="6">
        <v>38</v>
      </c>
      <c r="B67" s="7">
        <v>5</v>
      </c>
      <c r="C67" s="7">
        <v>13</v>
      </c>
      <c r="D67" s="7">
        <v>18</v>
      </c>
    </row>
    <row r="68" spans="1:4" x14ac:dyDescent="0.25">
      <c r="A68" s="6">
        <v>39</v>
      </c>
      <c r="B68" s="7">
        <v>3</v>
      </c>
      <c r="C68" s="7">
        <v>7</v>
      </c>
      <c r="D68" s="7">
        <v>10</v>
      </c>
    </row>
    <row r="69" spans="1:4" x14ac:dyDescent="0.25">
      <c r="A69" s="6">
        <v>40</v>
      </c>
      <c r="B69" s="7">
        <v>4</v>
      </c>
      <c r="C69" s="7">
        <v>5</v>
      </c>
      <c r="D69" s="7">
        <v>9</v>
      </c>
    </row>
    <row r="70" spans="1:4" x14ac:dyDescent="0.25">
      <c r="A70" s="6">
        <v>41</v>
      </c>
      <c r="B70" s="7">
        <v>2</v>
      </c>
      <c r="C70" s="7">
        <v>9</v>
      </c>
      <c r="D70" s="7">
        <v>11</v>
      </c>
    </row>
    <row r="71" spans="1:4" x14ac:dyDescent="0.25">
      <c r="A71" s="6">
        <v>42</v>
      </c>
      <c r="B71" s="7">
        <v>5</v>
      </c>
      <c r="C71" s="7">
        <v>5</v>
      </c>
      <c r="D71" s="7">
        <v>10</v>
      </c>
    </row>
    <row r="72" spans="1:4" x14ac:dyDescent="0.25">
      <c r="A72" s="6">
        <v>43</v>
      </c>
      <c r="B72" s="7">
        <v>1</v>
      </c>
      <c r="C72" s="7">
        <v>5</v>
      </c>
      <c r="D72" s="7">
        <v>6</v>
      </c>
    </row>
    <row r="73" spans="1:4" x14ac:dyDescent="0.25">
      <c r="A73" s="6">
        <v>44</v>
      </c>
      <c r="B73" s="7">
        <v>2</v>
      </c>
      <c r="C73" s="7">
        <v>2</v>
      </c>
      <c r="D73" s="7">
        <v>4</v>
      </c>
    </row>
    <row r="74" spans="1:4" x14ac:dyDescent="0.25">
      <c r="A74" s="6">
        <v>45</v>
      </c>
      <c r="B74" s="7">
        <v>2</v>
      </c>
      <c r="C74" s="7">
        <v>1</v>
      </c>
      <c r="D74" s="7">
        <v>3</v>
      </c>
    </row>
    <row r="75" spans="1:4" x14ac:dyDescent="0.25">
      <c r="A75" s="6">
        <v>46</v>
      </c>
      <c r="B75" s="7"/>
      <c r="C75" s="7">
        <v>2</v>
      </c>
      <c r="D75" s="7">
        <v>2</v>
      </c>
    </row>
    <row r="76" spans="1:4" x14ac:dyDescent="0.25">
      <c r="A76" s="6">
        <v>47</v>
      </c>
      <c r="B76" s="7"/>
      <c r="C76" s="7">
        <v>5</v>
      </c>
      <c r="D76" s="7">
        <v>5</v>
      </c>
    </row>
    <row r="77" spans="1:4" x14ac:dyDescent="0.25">
      <c r="A77" s="6">
        <v>48</v>
      </c>
      <c r="B77" s="7">
        <v>3</v>
      </c>
      <c r="C77" s="7"/>
      <c r="D77" s="7">
        <v>3</v>
      </c>
    </row>
    <row r="78" spans="1:4" x14ac:dyDescent="0.25">
      <c r="A78" s="6">
        <v>51</v>
      </c>
      <c r="B78" s="7">
        <v>1</v>
      </c>
      <c r="C78" s="7"/>
      <c r="D78" s="7">
        <v>1</v>
      </c>
    </row>
    <row r="79" spans="1:4" x14ac:dyDescent="0.25">
      <c r="A79" s="6">
        <v>52</v>
      </c>
      <c r="B79" s="7"/>
      <c r="C79" s="7">
        <v>1</v>
      </c>
      <c r="D79" s="7">
        <v>1</v>
      </c>
    </row>
    <row r="80" spans="1:4" x14ac:dyDescent="0.25">
      <c r="A80" s="6">
        <v>53</v>
      </c>
      <c r="B80" s="7">
        <v>1</v>
      </c>
      <c r="C80" s="7">
        <v>1</v>
      </c>
      <c r="D80" s="7">
        <v>2</v>
      </c>
    </row>
    <row r="81" spans="1:4" x14ac:dyDescent="0.25">
      <c r="A81" s="6">
        <v>57</v>
      </c>
      <c r="B81" s="7">
        <v>1</v>
      </c>
      <c r="C81" s="7"/>
      <c r="D81" s="7">
        <v>1</v>
      </c>
    </row>
    <row r="82" spans="1:4" x14ac:dyDescent="0.25">
      <c r="A82" s="6">
        <v>58</v>
      </c>
      <c r="B82" s="7">
        <v>1</v>
      </c>
      <c r="C82" s="7">
        <v>1</v>
      </c>
      <c r="D82" s="7">
        <v>2</v>
      </c>
    </row>
    <row r="83" spans="1:4" x14ac:dyDescent="0.25">
      <c r="A83" s="6">
        <v>59</v>
      </c>
      <c r="B83" s="7">
        <v>1</v>
      </c>
      <c r="C83" s="7">
        <v>3</v>
      </c>
      <c r="D83" s="7">
        <v>4</v>
      </c>
    </row>
    <row r="84" spans="1:4" x14ac:dyDescent="0.25">
      <c r="A84" s="6">
        <v>60</v>
      </c>
      <c r="B84" s="7"/>
      <c r="C84" s="7">
        <v>2</v>
      </c>
      <c r="D84" s="7">
        <v>2</v>
      </c>
    </row>
    <row r="85" spans="1:4" x14ac:dyDescent="0.25">
      <c r="A85" s="6">
        <v>61</v>
      </c>
      <c r="B85" s="7">
        <v>1</v>
      </c>
      <c r="C85" s="7"/>
      <c r="D85" s="7">
        <v>1</v>
      </c>
    </row>
    <row r="86" spans="1:4" x14ac:dyDescent="0.25">
      <c r="A86" s="6">
        <v>62</v>
      </c>
      <c r="B86" s="7">
        <v>1</v>
      </c>
      <c r="C86" s="7">
        <v>2</v>
      </c>
      <c r="D86" s="7">
        <v>3</v>
      </c>
    </row>
    <row r="87" spans="1:4" x14ac:dyDescent="0.25">
      <c r="A87" s="6">
        <v>63</v>
      </c>
      <c r="B87" s="7">
        <v>2</v>
      </c>
      <c r="C87" s="7">
        <v>1</v>
      </c>
      <c r="D87" s="7">
        <v>3</v>
      </c>
    </row>
    <row r="88" spans="1:4" x14ac:dyDescent="0.25">
      <c r="A88" s="6">
        <v>65</v>
      </c>
      <c r="B88" s="7"/>
      <c r="C88" s="7">
        <v>2</v>
      </c>
      <c r="D88" s="7">
        <v>2</v>
      </c>
    </row>
    <row r="89" spans="1:4" x14ac:dyDescent="0.25">
      <c r="A89" s="6">
        <v>66</v>
      </c>
      <c r="B89" s="7"/>
      <c r="C89" s="7">
        <v>2</v>
      </c>
      <c r="D89" s="7">
        <v>2</v>
      </c>
    </row>
    <row r="90" spans="1:4" x14ac:dyDescent="0.25">
      <c r="A90" s="6">
        <v>67</v>
      </c>
      <c r="B90" s="7">
        <v>1</v>
      </c>
      <c r="C90" s="7"/>
      <c r="D90" s="7">
        <v>1</v>
      </c>
    </row>
    <row r="91" spans="1:4" x14ac:dyDescent="0.25">
      <c r="A91" s="6">
        <v>68</v>
      </c>
      <c r="B91" s="7">
        <v>1</v>
      </c>
      <c r="C91" s="7"/>
      <c r="D91" s="7">
        <v>1</v>
      </c>
    </row>
    <row r="92" spans="1:4" x14ac:dyDescent="0.25">
      <c r="A92" s="6" t="s">
        <v>42</v>
      </c>
      <c r="B92" s="7">
        <v>49</v>
      </c>
      <c r="C92" s="7">
        <v>91</v>
      </c>
      <c r="D92" s="7">
        <v>140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73BC6-5718-45BC-8641-FA4B68C4F229}">
  <dimension ref="A1:N1001"/>
  <sheetViews>
    <sheetView topLeftCell="B978" workbookViewId="0">
      <selection activeCell="H15" sqref="H15"/>
    </sheetView>
  </sheetViews>
  <sheetFormatPr defaultColWidth="11.85546875" defaultRowHeight="15" x14ac:dyDescent="0.25"/>
  <cols>
    <col min="2" max="2" width="15.5703125" bestFit="1" customWidth="1"/>
    <col min="3" max="3" width="9.85546875" bestFit="1" customWidth="1"/>
    <col min="4" max="4" width="13.42578125" style="4"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4" t="s">
        <v>3</v>
      </c>
      <c r="E1" t="s">
        <v>4</v>
      </c>
      <c r="F1" t="s">
        <v>5</v>
      </c>
      <c r="G1" t="s">
        <v>6</v>
      </c>
      <c r="H1" t="s">
        <v>7</v>
      </c>
      <c r="I1" t="s">
        <v>8</v>
      </c>
      <c r="J1" t="s">
        <v>9</v>
      </c>
      <c r="K1" t="s">
        <v>10</v>
      </c>
      <c r="L1" t="s">
        <v>11</v>
      </c>
      <c r="M1" t="s">
        <v>40</v>
      </c>
      <c r="N1" t="s">
        <v>12</v>
      </c>
    </row>
    <row r="2" spans="1:14" x14ac:dyDescent="0.25">
      <c r="A2">
        <v>12496</v>
      </c>
      <c r="B2" t="s">
        <v>36</v>
      </c>
      <c r="C2" t="s">
        <v>38</v>
      </c>
      <c r="D2" s="4">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4">
        <v>80000</v>
      </c>
      <c r="E4">
        <v>5</v>
      </c>
      <c r="F4" t="s">
        <v>19</v>
      </c>
      <c r="G4" t="s">
        <v>21</v>
      </c>
      <c r="H4" t="s">
        <v>18</v>
      </c>
      <c r="I4">
        <v>2</v>
      </c>
      <c r="J4" t="s">
        <v>22</v>
      </c>
      <c r="K4" t="s">
        <v>17</v>
      </c>
      <c r="L4">
        <v>60</v>
      </c>
      <c r="M4" t="str">
        <f t="shared" si="0"/>
        <v>Old</v>
      </c>
      <c r="N4" t="s">
        <v>18</v>
      </c>
    </row>
    <row r="5" spans="1:14" x14ac:dyDescent="0.25">
      <c r="A5">
        <v>24381</v>
      </c>
      <c r="B5" t="s">
        <v>37</v>
      </c>
      <c r="C5" t="s">
        <v>39</v>
      </c>
      <c r="D5" s="4">
        <v>70000</v>
      </c>
      <c r="E5">
        <v>0</v>
      </c>
      <c r="F5" t="s">
        <v>13</v>
      </c>
      <c r="G5" t="s">
        <v>21</v>
      </c>
      <c r="H5" t="s">
        <v>15</v>
      </c>
      <c r="I5">
        <v>1</v>
      </c>
      <c r="J5" t="s">
        <v>23</v>
      </c>
      <c r="K5" t="s">
        <v>24</v>
      </c>
      <c r="L5">
        <v>41</v>
      </c>
      <c r="M5" t="str">
        <f t="shared" si="0"/>
        <v>Middle Age</v>
      </c>
      <c r="N5" t="s">
        <v>15</v>
      </c>
    </row>
    <row r="6" spans="1:14" x14ac:dyDescent="0.25">
      <c r="A6">
        <v>25597</v>
      </c>
      <c r="B6" t="s">
        <v>37</v>
      </c>
      <c r="C6" t="s">
        <v>39</v>
      </c>
      <c r="D6" s="4">
        <v>30000</v>
      </c>
      <c r="E6">
        <v>0</v>
      </c>
      <c r="F6" t="s">
        <v>13</v>
      </c>
      <c r="G6" t="s">
        <v>20</v>
      </c>
      <c r="H6" t="s">
        <v>18</v>
      </c>
      <c r="I6">
        <v>0</v>
      </c>
      <c r="J6" t="s">
        <v>16</v>
      </c>
      <c r="K6" t="s">
        <v>17</v>
      </c>
      <c r="L6">
        <v>36</v>
      </c>
      <c r="M6" t="str">
        <f t="shared" si="0"/>
        <v>Middle Age</v>
      </c>
      <c r="N6" t="s">
        <v>15</v>
      </c>
    </row>
    <row r="7" spans="1:14" x14ac:dyDescent="0.25">
      <c r="A7">
        <v>13507</v>
      </c>
      <c r="B7" t="s">
        <v>36</v>
      </c>
      <c r="C7" t="s">
        <v>38</v>
      </c>
      <c r="D7" s="4">
        <v>10000</v>
      </c>
      <c r="E7">
        <v>2</v>
      </c>
      <c r="F7" t="s">
        <v>19</v>
      </c>
      <c r="G7" t="s">
        <v>25</v>
      </c>
      <c r="H7" t="s">
        <v>15</v>
      </c>
      <c r="I7">
        <v>0</v>
      </c>
      <c r="J7" t="s">
        <v>26</v>
      </c>
      <c r="K7" t="s">
        <v>17</v>
      </c>
      <c r="L7">
        <v>50</v>
      </c>
      <c r="M7" t="str">
        <f t="shared" si="0"/>
        <v>Middle Age</v>
      </c>
      <c r="N7" t="s">
        <v>18</v>
      </c>
    </row>
    <row r="8" spans="1:14" x14ac:dyDescent="0.25">
      <c r="A8">
        <v>27974</v>
      </c>
      <c r="B8" t="s">
        <v>37</v>
      </c>
      <c r="C8" t="s">
        <v>39</v>
      </c>
      <c r="D8" s="4">
        <v>160000</v>
      </c>
      <c r="E8">
        <v>2</v>
      </c>
      <c r="F8" t="s">
        <v>27</v>
      </c>
      <c r="G8" t="s">
        <v>28</v>
      </c>
      <c r="H8" t="s">
        <v>15</v>
      </c>
      <c r="I8">
        <v>4</v>
      </c>
      <c r="J8" t="s">
        <v>16</v>
      </c>
      <c r="K8" t="s">
        <v>24</v>
      </c>
      <c r="L8">
        <v>33</v>
      </c>
      <c r="M8" t="str">
        <f t="shared" si="0"/>
        <v>Middle Age</v>
      </c>
      <c r="N8" t="s">
        <v>15</v>
      </c>
    </row>
    <row r="9" spans="1:14" x14ac:dyDescent="0.25">
      <c r="A9">
        <v>19364</v>
      </c>
      <c r="B9" t="s">
        <v>36</v>
      </c>
      <c r="C9" t="s">
        <v>39</v>
      </c>
      <c r="D9" s="4">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4">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4">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4">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4">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4">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4">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4">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4">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4">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4">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4">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4">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4">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4">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4">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4">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4">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4">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4">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4">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4">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4">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4">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4">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4">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4">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4">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4">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4">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4">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4">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4">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4">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4">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4">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4">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4">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4">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4">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4">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4">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4">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4">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4">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4">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4">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4">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4">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4">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4">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4">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4">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4">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4">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4">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4">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4">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4">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4">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4">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4">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4">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4">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4">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4">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4">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4">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4">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4">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4">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4">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4">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4">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4">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4">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4">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4">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4">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4">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4">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4">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4">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4">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4">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4">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4">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4">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4">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4">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4">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4">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4">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4">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4">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4">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4">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4">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4">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4">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4">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4">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4">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4">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4">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4">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4">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4">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4">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4">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4">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4">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4">
        <v>60000</v>
      </c>
      <c r="E1001">
        <v>3</v>
      </c>
      <c r="F1001" t="s">
        <v>27</v>
      </c>
      <c r="G1001" t="s">
        <v>21</v>
      </c>
      <c r="H1001" t="s">
        <v>15</v>
      </c>
      <c r="I1001">
        <v>2</v>
      </c>
      <c r="J1001" t="s">
        <v>46</v>
      </c>
      <c r="K1001" t="s">
        <v>32</v>
      </c>
      <c r="L1001">
        <v>53</v>
      </c>
      <c r="M1001" t="str">
        <f t="shared" si="15"/>
        <v>Middle Age</v>
      </c>
      <c r="N1001" t="s">
        <v>15</v>
      </c>
    </row>
  </sheetData>
  <autoFilter ref="A1:N1001" xr:uid="{0D373BC6-5718-45BC-8641-FA4B68C4F22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firdaus ramadhan</cp:lastModifiedBy>
  <dcterms:created xsi:type="dcterms:W3CDTF">2022-03-18T02:50:57Z</dcterms:created>
  <dcterms:modified xsi:type="dcterms:W3CDTF">2026-05-10T09:41:19Z</dcterms:modified>
</cp:coreProperties>
</file>